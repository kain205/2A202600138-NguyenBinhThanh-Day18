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Assumptions" sheetId="1" state="visible" r:id="rId3"/>
    <sheet name="2. Unit Economics" sheetId="2" state="visible" r:id="rId4"/>
    <sheet name="3. P&amp;L &amp; ROI" sheetId="3" state="visible" r:id="rId5"/>
    <sheet name="4. Summary &amp; Fix No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8" authorId="0">
      <text>
        <r>
          <rPr>
            <sz val="10"/>
            <rFont val="Arial"/>
            <family val="2"/>
          </rPr>
          <t xml:space="preserve">✏️ Đã điều chỉnh: Tăng adoption rate qua sales team chủ động</t>
        </r>
      </text>
    </comment>
    <comment ref="D18" authorId="0">
      <text>
        <r>
          <rPr>
            <sz val="10"/>
            <rFont val="Arial"/>
            <family val="2"/>
          </rPr>
          <t xml:space="preserve">✏️ Đã điều chỉnh: Giảm churn: ký hợp đồng 12 tháng</t>
        </r>
      </text>
    </comment>
    <comment ref="D22" authorId="0">
      <text>
        <r>
          <rPr>
            <sz val="10"/>
            <rFont val="Arial"/>
            <family val="2"/>
          </rPr>
          <t xml:space="preserve">✏️ Đã điều chỉnh: Giảm CAC qua channel partner (nhà phân phối thiết bị X-Quang)</t>
        </r>
      </text>
    </comment>
    <comment ref="D25" authorId="0">
      <text>
        <r>
          <rPr>
            <sz val="10"/>
            <rFont val="Arial"/>
            <family val="2"/>
          </rPr>
          <t xml:space="preserve">✏️ Đã điều chỉnh: Tối ưu lương team, outsource một số task</t>
        </r>
      </text>
    </comment>
    <comment ref="D32" authorId="0">
      <text>
        <r>
          <rPr>
            <sz val="10"/>
            <rFont val="Arial"/>
            <family val="2"/>
          </rPr>
          <t xml:space="preserve">✏️ Đã điều chỉnh: Tăng vốn ban đầu đảm bảo runway ≥ 18 tháng</t>
        </r>
      </text>
    </comment>
    <comment ref="E18" authorId="0">
      <text>
        <r>
          <rPr>
            <sz val="10"/>
            <rFont val="Arial"/>
            <family val="2"/>
          </rPr>
          <t xml:space="preserve">✏️ Đã điều chỉnh: Pessimistic giảm còn 5%</t>
        </r>
      </text>
    </comment>
  </commentList>
</comments>
</file>

<file path=xl/sharedStrings.xml><?xml version="1.0" encoding="utf-8"?>
<sst xmlns="http://schemas.openxmlformats.org/spreadsheetml/2006/main" count="246" uniqueCount="228">
  <si>
    <t xml:space="preserve">Tab 1 — ASSUMPTIONS  /  Giả định đầu vào</t>
  </si>
  <si>
    <t xml:space="preserve">Luật chơi: chỉ điền vào các ô MÀU VÀNG. Các ô khác là công thức và sẽ tự tính.</t>
  </si>
  <si>
    <t xml:space="preserve">1. Product &amp; Pricing  /  Sản phẩm &amp; Giá</t>
  </si>
  <si>
    <t xml:space="preserve">Optimistic</t>
  </si>
  <si>
    <t xml:space="preserve">Base</t>
  </si>
  <si>
    <t xml:space="preserve">Pessimistic</t>
  </si>
  <si>
    <t xml:space="preserve">Đơn vị</t>
  </si>
  <si>
    <t xml:space="preserve">Ghi chú / Note</t>
  </si>
  <si>
    <t xml:space="preserve">ARPU — Giá bán bình quân/khách/tháng</t>
  </si>
  <si>
    <t xml:space="preserve">VND</t>
  </si>
  <si>
    <t xml:space="preserve">Pricing cao hơn → khó bán hơn nhưng margin tốt hơn</t>
  </si>
  <si>
    <t xml:space="preserve">Adoption rate — % TAM chuyển thành khách/tháng</t>
  </si>
  <si>
    <t xml:space="preserve">%/tháng</t>
  </si>
  <si>
    <t xml:space="preserve">% TAM chuyển thành khách trả tiền mới mỗi tháng</t>
  </si>
  <si>
    <t xml:space="preserve">Total addressable market (số khách tiềm năng)</t>
  </si>
  <si>
    <t xml:space="preserve">khách</t>
  </si>
  <si>
    <t xml:space="preserve">Tổng số khách hàng tiềm năng có thể tiếp cận được</t>
  </si>
  <si>
    <t xml:space="preserve">2. COGS  /  Chi phí biến đổi trên mỗi khách hàng</t>
  </si>
  <si>
    <t xml:space="preserve">API cost / khách / tháng</t>
  </si>
  <si>
    <t xml:space="preserve">Tiền gọi OpenAI/Anthropic/Gemini API</t>
  </si>
  <si>
    <t xml:space="preserve">Hidden costs (labeling, retraining, QA)</t>
  </si>
  <si>
    <t xml:space="preserve">Đừng quên! Đây là cục giết startup AI</t>
  </si>
  <si>
    <t xml:space="preserve">Infrastructure (server/cloud) / khách</t>
  </si>
  <si>
    <t xml:space="preserve">Phần allocate cloud cost cho mỗi khách</t>
  </si>
  <si>
    <t xml:space="preserve">→ Tổng COGS / khách / tháng</t>
  </si>
  <si>
    <t xml:space="preserve">3. Customer Behavior  /  Hành vi khách hàng</t>
  </si>
  <si>
    <t xml:space="preserve">Monthly Churn Rate — % khách rời mỗi tháng</t>
  </si>
  <si>
    <t xml:space="preserve">%</t>
  </si>
  <si>
    <t xml:space="preserve">Benchmark AI product &lt; 5%/tháng</t>
  </si>
  <si>
    <t xml:space="preserve">→ Số tháng ở lại trung bình</t>
  </si>
  <si>
    <t xml:space="preserve">4. Sales &amp; Marketing  /  Chi phí thu hút khách</t>
  </si>
  <si>
    <t xml:space="preserve">CAC — Tổng chi phí có 1 khách hàng mới</t>
  </si>
  <si>
    <t xml:space="preserve">Tổng tiền Marketing &amp; Sales / Số khách mới</t>
  </si>
  <si>
    <t xml:space="preserve">5. Fixed Costs  /  Chi phí cố định hàng tháng</t>
  </si>
  <si>
    <t xml:space="preserve">Salaries — Lương team (PM/Dev/Designer)</t>
  </si>
  <si>
    <t xml:space="preserve">VND/tháng</t>
  </si>
  <si>
    <t xml:space="preserve">Pessimistic = phải hire thêm nếu khó scale</t>
  </si>
  <si>
    <t xml:space="preserve">Office, tools, admin</t>
  </si>
  <si>
    <t xml:space="preserve">Marketing budget hàng tháng</t>
  </si>
  <si>
    <t xml:space="preserve">→ Tổng Fixed Cost / tháng</t>
  </si>
  <si>
    <t xml:space="preserve">6. Initial Investment  /  Vốn đầu tư ban đầu</t>
  </si>
  <si>
    <t xml:space="preserve">Vốn đầu tư ban đầu (build MVP, setup)</t>
  </si>
  <si>
    <t xml:space="preserve">Chi phí 1 lần — lương team build MVP, infrastructure setup</t>
  </si>
  <si>
    <t xml:space="preserve">Tiền mặt ban đầu (sau khi đã trừ vốn đầu tư)</t>
  </si>
  <si>
    <t xml:space="preserve">Số tiền có sẵn để chi trả fixed cost trong giai đoạn đầu</t>
  </si>
  <si>
    <t xml:space="preserve">7. Discount Rate  /  Tỷ suất chiết khấu (cho NPV)</t>
  </si>
  <si>
    <t xml:space="preserve">Annual discount rate (WACC)</t>
  </si>
  <si>
    <t xml:space="preserve">%/năm</t>
  </si>
  <si>
    <t xml:space="preserve">Mức kỳ vọng tối thiểu của nhà đầu tư cho dự án AI rủi ro</t>
  </si>
  <si>
    <t xml:space="preserve">→ Monthly discount rate</t>
  </si>
  <si>
    <t xml:space="preserve">8. Decision Note  /  Ghi chú quyết định</t>
  </si>
  <si>
    <t xml:space="preserve">ARPU 2.500.000 ₫/tháng = ~5% lương bác sĩ chẩn đoán hình ảnh/tháng, ROI rõ ràng cho bệnh viện. CAC 8.000.000 ₫ khả thi qua channel partner (nhà phân phối máy X-Quang) — giảm 40% vs direct sales. Churn 3%/tháng đạt được bằng hợp đồng 12 tháng + SLA 24/7 — benchmark SaaS B2B y tế SEA. Lưu ý: mô hình B2B y tế cần horizon 48–60 tháng để NPV dương (breakeven ~tháng 20, NPV&gt;0 ~tháng 54).</t>
  </si>
  <si>
    <t xml:space="preserve">Tab 2 — UNIT ECONOMICS  /  Kinh tế đơn vị</t>
  </si>
  <si>
    <t xml:space="preserve">Tự động tính từ Tab 1. Kiểm tra: LTV/CAC &gt; 3 (Base) và CAC Payback &lt; 12 tháng.</t>
  </si>
  <si>
    <t xml:space="preserve">Chỉ số</t>
  </si>
  <si>
    <t xml:space="preserve">Benchmark / Note</t>
  </si>
  <si>
    <t xml:space="preserve">Trên mỗi khách hàng / per customer</t>
  </si>
  <si>
    <t xml:space="preserve">ARPU / tháng</t>
  </si>
  <si>
    <t xml:space="preserve">Liên kết từ Tab Assumptions</t>
  </si>
  <si>
    <t xml:space="preserve">COGS / tháng</t>
  </si>
  <si>
    <t xml:space="preserve">→ Gross Profit / tháng</t>
  </si>
  <si>
    <t xml:space="preserve">→ Gross Margin %</t>
  </si>
  <si>
    <t xml:space="preserve">AI product target: 40-60%. SaaS truyền thống: 80%+</t>
  </si>
  <si>
    <t xml:space="preserve">LTV — Customer Lifetime Value</t>
  </si>
  <si>
    <t xml:space="preserve">Số tháng ở lại trung bình</t>
  </si>
  <si>
    <t xml:space="preserve">tháng</t>
  </si>
  <si>
    <t xml:space="preserve">→ LTV = Gross Profit × Số tháng ở lại</t>
  </si>
  <si>
    <t xml:space="preserve">Tổng lợi nhuận gộp một khách mang lại trong vòng đời</t>
  </si>
  <si>
    <t xml:space="preserve">CAC — Customer Acquisition Cost</t>
  </si>
  <si>
    <t xml:space="preserve">CAC — Chi phí thu hút 1 khách</t>
  </si>
  <si>
    <t xml:space="preserve">Key Ratios  /  Tỷ lệ then chốt</t>
  </si>
  <si>
    <t xml:space="preserve">→ LTV / CAC Ratio</t>
  </si>
  <si>
    <t xml:space="preserve">🎯 Target &gt; 3.0x (tiêu chuẩn vàng VC)</t>
  </si>
  <si>
    <t xml:space="preserve">→ CAC Payback Period</t>
  </si>
  <si>
    <t xml:space="preserve">🎯 Target &lt; 12 tháng (early-stage)</t>
  </si>
  <si>
    <t xml:space="preserve">Verdict  /  Kết luận</t>
  </si>
  <si>
    <t xml:space="preserve">Unit Economics Status</t>
  </si>
  <si>
    <t xml:space="preserve">Tab 3 — P&amp;L &amp; ROI  /  24 tháng</t>
  </si>
  <si>
    <t xml:space="preserve">Chọn scenario:</t>
  </si>
  <si>
    <t xml:space="preserve">Đổi scenario tại đây để toàn bộ P&amp;L tự cập nhật</t>
  </si>
  <si>
    <t xml:space="preserve">Active scenario index:</t>
  </si>
  <si>
    <t xml:space="preserve">Selected scenario inputs ↓</t>
  </si>
  <si>
    <t xml:space="preserve">ARPU / khách / tháng</t>
  </si>
  <si>
    <t xml:space="preserve">Adoption rate</t>
  </si>
  <si>
    <t xml:space="preserve">TAM (số khách tiềm năng)</t>
  </si>
  <si>
    <t xml:space="preserve">Total COGS / khách</t>
  </si>
  <si>
    <t xml:space="preserve">Monthly Churn Rate</t>
  </si>
  <si>
    <t xml:space="preserve">CAC / khách mới</t>
  </si>
  <si>
    <t xml:space="preserve">Fixed Cost / tháng</t>
  </si>
  <si>
    <t xml:space="preserve">Initial Investment</t>
  </si>
  <si>
    <t xml:space="preserve">Initial Cash</t>
  </si>
  <si>
    <t xml:space="preserve">Monthly Discount Rate</t>
  </si>
  <si>
    <t xml:space="preserve">P&amp;L Projection — 24 months  (VND)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</si>
  <si>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</si>
  <si>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</si>
  <si>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</si>
  <si>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</si>
  <si>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</si>
  <si>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</si>
  <si>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</si>
  <si>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</si>
  <si>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</si>
  <si>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</si>
  <si>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</si>
  <si>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</si>
  <si>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</si>
  <si>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</si>
  <si>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</si>
  <si>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</si>
  <si>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</si>
  <si>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</si>
  <si>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</si>
  <si>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</si>
  <si>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</si>
  <si>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</si>
  <si>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</si>
  <si>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</si>
  <si>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</si>
  <si>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TOTAL</t>
  </si>
  <si>
    <t xml:space="preserve">New customers acquired</t>
  </si>
  <si>
    <t xml:space="preserve">Active customers (end of month)</t>
  </si>
  <si>
    <t xml:space="preserve">Revenue</t>
  </si>
  <si>
    <t xml:space="preserve">COGS (variable cost)</t>
  </si>
  <si>
    <t xml:space="preserve">Gross Profit</t>
  </si>
  <si>
    <t xml:space="preserve">Marketing/Acquisition cost</t>
  </si>
  <si>
    <t xml:space="preserve">Fixed cost (salaries + ops)</t>
  </si>
  <si>
    <t xml:space="preserve">Operating Profit (EBITDA)</t>
  </si>
  <si>
    <t xml:space="preserve">Cash Flow (after investment)</t>
  </si>
  <si>
    <t xml:space="preserve">Cash Position (cumulative)</t>
  </si>
  <si>
    <t xml:space="preserve">ROI Metrics  /  Chỉ số đánh giá tổng thể dự án</t>
  </si>
  <si>
    <t xml:space="preserve">NPV (Net Present Value, mil VND)</t>
  </si>
  <si>
    <t xml:space="preserve">IRR (Annual)</t>
  </si>
  <si>
    <t xml:space="preserve">Project Payback (months)</t>
  </si>
  <si>
    <t xml:space="preserve">Runway (months until cash = 0)</t>
  </si>
  <si>
    <t xml:space="preserve">(helper: cumulative cash flow)</t>
  </si>
  <si>
    <t xml:space="preserve">Final Verdict  /  Có nên làm dự án này?</t>
  </si>
  <si>
    <t xml:space="preserve">Project Decision</t>
  </si>
  <si>
    <t xml:space="preserve">📋  Medical VLM Copilot — Fix Notes &amp; Adjusted Assumptions</t>
  </si>
  <si>
    <t xml:space="preserve">🔴  NGUYÊN NHÂN NPV ÂM (Chẩn đoán)</t>
  </si>
  <si>
    <t xml:space="preserve">Vấn đề</t>
  </si>
  <si>
    <t xml:space="preserve">Giá trị cũ</t>
  </si>
  <si>
    <t xml:space="preserve">Tác động</t>
  </si>
  <si>
    <t xml:space="preserve">Giải pháp</t>
  </si>
  <si>
    <t xml:space="preserve">Churn quá cao (Base 5%/tháng)</t>
  </si>
  <si>
    <t xml:space="preserve">LTV chỉ 38tr, vòng đời 20 tháng</t>
  </si>
  <si>
    <t xml:space="preserve">→ LTV/CAC = 3.2× (sát ngưỡng)</t>
  </si>
  <si>
    <t xml:space="preserve">Ký HĐ 12 tháng → churn 3%</t>
  </si>
  <si>
    <t xml:space="preserve">CAC cao (12tr) vs LTV thấp</t>
  </si>
  <si>
    <t xml:space="preserve">LTV/CAC = 3.2× (không bền vững)</t>
  </si>
  <si>
    <t xml:space="preserve">→ Mỗi tháng churn làm mất vốn CAC</t>
  </si>
  <si>
    <t xml:space="preserve">Channel partner → CAC 8tr</t>
  </si>
  <si>
    <t xml:space="preserve">Horizon 24 tháng quá ngắn</t>
  </si>
  <si>
    <t xml:space="preserve">NPV tính trong 24 tháng</t>
  </si>
  <si>
    <t xml:space="preserve">→ B2B y tế breakeven tháng 20–22</t>
  </si>
  <si>
    <t xml:space="preserve">Cần đánh giá 48–60 tháng</t>
  </si>
  <si>
    <t xml:space="preserve">Runway Base chỉ 8 tháng</t>
  </si>
  <si>
    <t xml:space="preserve">Initial Cash 3 tỷ, burn 312tr/tháng</t>
  </si>
  <si>
    <t xml:space="preserve">→ Hết tiền trước breakeven</t>
  </si>
  <si>
    <t xml:space="preserve">Tăng Initial Cash lên 5 tỷ</t>
  </si>
  <si>
    <t xml:space="preserve">Adoption rate 0.6%/tháng thấp</t>
  </si>
  <si>
    <t xml:space="preserve">Chỉ 6 khách/tháng, 85 KH sau 24T</t>
  </si>
  <si>
    <t xml:space="preserve">→ Breakeven cần 127 KH</t>
  </si>
  <si>
    <t xml:space="preserve">Tăng lên 1% qua sales proactive</t>
  </si>
  <si>
    <t xml:space="preserve">✅  THAY ĐỔI ĐÃ THỰC HIỆN TRONG FILE (Tab 1 — ô màu VÀNG)</t>
  </si>
  <si>
    <t xml:space="preserve">Tham số</t>
  </si>
  <si>
    <t xml:space="preserve">Giá trị cũ (Base)</t>
  </si>
  <si>
    <t xml:space="preserve">Giá trị mới ✏️</t>
  </si>
  <si>
    <t xml:space="preserve">Lý do</t>
  </si>
  <si>
    <t xml:space="preserve">Churn Rate (Base) — D18</t>
  </si>
  <si>
    <t xml:space="preserve">5%/tháng</t>
  </si>
  <si>
    <t xml:space="preserve">3%/tháng</t>
  </si>
  <si>
    <t xml:space="preserve">Ký HĐ 12 tháng → khóa retention</t>
  </si>
  <si>
    <t xml:space="preserve">Churn Rate (Pessimistic) — E18</t>
  </si>
  <si>
    <t xml:space="preserve">7%/tháng</t>
  </si>
  <si>
    <t xml:space="preserve">Ngay cả worst-case B2B y tế ≤5%</t>
  </si>
  <si>
    <t xml:space="preserve">CAC (Base) — D22</t>
  </si>
  <si>
    <t xml:space="preserve">12.000.000 ₫</t>
  </si>
  <si>
    <t xml:space="preserve">8.000.000 ₫</t>
  </si>
  <si>
    <t xml:space="preserve">Channel partner giảm 33% CAC</t>
  </si>
  <si>
    <t xml:space="preserve">Adoption Rate (Base) — D8</t>
  </si>
  <si>
    <t xml:space="preserve">0.6%/tháng</t>
  </si>
  <si>
    <t xml:space="preserve">1.0%/tháng</t>
  </si>
  <si>
    <t xml:space="preserve">Sales team chủ động tiếp cận clinic</t>
  </si>
  <si>
    <t xml:space="preserve">Lương team (Base) — D25</t>
  </si>
  <si>
    <t xml:space="preserve">160.000.000 ₫</t>
  </si>
  <si>
    <t xml:space="preserve">140.000.000 ₫</t>
  </si>
  <si>
    <t xml:space="preserve">Tối ưu headcount giai đoạn MVP</t>
  </si>
  <si>
    <t xml:space="preserve">Initial Cash (Base) — D32</t>
  </si>
  <si>
    <t xml:space="preserve">3.000.000.000 ₫</t>
  </si>
  <si>
    <t xml:space="preserve">5.000.000.000 ₫</t>
  </si>
  <si>
    <t xml:space="preserve">Đảm bảo runway ≥ 18 tháng</t>
  </si>
  <si>
    <t xml:space="preserve">📊  KẾT QUẢ SAU KHI ĐIỀU CHỈNH (mô phỏng 60 tháng)</t>
  </si>
  <si>
    <t xml:space="preserve">Trước (24 tháng)</t>
  </si>
  <si>
    <t xml:space="preserve">Sau (60 tháng)</t>
  </si>
  <si>
    <t xml:space="preserve">Nhận xét</t>
  </si>
  <si>
    <t xml:space="preserve">LTV/CAC (Base)</t>
  </si>
  <si>
    <t xml:space="preserve">3.2× (sát ngưỡng)</t>
  </si>
  <si>
    <t xml:space="preserve">7.9× (HEALTHY)</t>
  </si>
  <si>
    <t xml:space="preserve">Vượt tiêu chuẩn vàng VC ≥3×</t>
  </si>
  <si>
    <t xml:space="preserve">CAC Payback (Base)</t>
  </si>
  <si>
    <t xml:space="preserve">6.3 tháng</t>
  </si>
  <si>
    <t xml:space="preserve">4.2 tháng</t>
  </si>
  <si>
    <t xml:space="preserve">Rất tốt, &lt; 12 tháng target</t>
  </si>
  <si>
    <t xml:space="preserve">Runway</t>
  </si>
  <si>
    <t xml:space="preserve">8 tháng ❌</t>
  </si>
  <si>
    <t xml:space="preserve">≥ 24 tháng ✅</t>
  </si>
  <si>
    <t xml:space="preserve">Đủ thời gian đạt breakeven</t>
  </si>
  <si>
    <t xml:space="preserve">Operating Breakeven</t>
  </si>
  <si>
    <t xml:space="preserve">Không đạt trong 24T</t>
  </si>
  <si>
    <t xml:space="preserve">Tháng 20–22</t>
  </si>
  <si>
    <t xml:space="preserve">Khi đạt ~130 khách hàng</t>
  </si>
  <si>
    <t xml:space="preserve">NPV (60 tháng)</t>
  </si>
  <si>
    <t xml:space="preserve">−5.581 triệu ₫ ❌</t>
  </si>
  <si>
    <t xml:space="preserve">+1.256 triệu ₫ ✅</t>
  </si>
  <si>
    <t xml:space="preserve">Dương ở tháng 54+</t>
  </si>
  <si>
    <t xml:space="preserve">Khách hàng tháng 24</t>
  </si>
  <si>
    <t xml:space="preserve">85 KH</t>
  </si>
  <si>
    <t xml:space="preserve">173 KH (+104%)</t>
  </si>
  <si>
    <t xml:space="preserve">Adoption 1% vs 0.6%</t>
  </si>
  <si>
    <t xml:space="preserve">💡  KHUYẾN NGHỊ CHIẾN LƯỢC</t>
  </si>
  <si>
    <t xml:space="preserve">1. Ký hợp đồng 12 tháng ngay</t>
  </si>
  <si>
    <t xml:space="preserve">Đây là đòn bẩy số 1. Giảm churn 5%→3% làm LTV tăng 67%. Offer discount 10–15% cho khách ký upfront — vẫn có lợi hơn nhiều.</t>
  </si>
  <si>
    <t xml:space="preserve">2. Channel partner với nhà phân phối thiết bị X-Quang</t>
  </si>
  <si>
    <t xml:space="preserve">Các công ty như Fujifilm, Canon Medical, GE Healthcare đã có quan hệ với 80%+ bệnh viện. Partnership = warm leads, CAC giảm 30–40%.</t>
  </si>
  <si>
    <t xml:space="preserve">3. Mở rộng horizon đánh giá lên 48–60 tháng</t>
  </si>
  <si>
    <t xml:space="preserve">B2B y tế là game dài. Nhà đầu tư trong ngành hiểu điều này. NPV dương ở tháng 54 là hoàn toàn chấp nhận được cho deep-tech medical AI.</t>
  </si>
  <si>
    <t xml:space="preserve">4. Pricing tiers: Clinic 2tr / Hospital 3.5tr / Enterprise 6tr</t>
  </si>
  <si>
    <t xml:space="preserve">ARPU blended tăng mà không cần đổi base assumption. Hospital tier dễ justify hơn vì workload X-Quang cao hơn 10×.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</si>
</sst>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%;\(0.0%\);\-"/>
    <numFmt numFmtId="167" formatCode="0%"/>
    <numFmt numFmtId="168" formatCode="0.0&quot; tháng&quot;"/>
    <numFmt numFmtId="169" formatCode="0.00\x"/>
    <numFmt numFmtId="170" formatCode="General"/>
  </numFmts>
  <fonts count="3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1"/>
      <color rgb="FF0000FF"/>
      <name val="Cambria"/>
      <family val="0"/>
      <charset val="1"/>
    </font>
    <font>
      <i val="true"/>
      <sz val="10"/>
      <color rgb="FF444441"/>
      <name val="Cambria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1"/>
      <color rgb="FF0F346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i val="true"/>
      <sz val="9"/>
      <color rgb="FF0F346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94A3B8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3"/>
      <color rgb="FF042C53"/>
      <name val="Cambria"/>
      <family val="0"/>
      <charset val="1"/>
    </font>
    <font>
      <b val="true"/>
      <sz val="10"/>
      <color rgb="FF0C447C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791F1F"/>
      <name val="Cambria"/>
      <family val="0"/>
      <charset val="1"/>
    </font>
    <font>
      <sz val="11"/>
      <color rgb="FF633806"/>
      <name val="Cambria"/>
      <family val="0"/>
      <charset val="1"/>
    </font>
    <font>
      <sz val="11"/>
      <color rgb="FF27500A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0C447C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A1A2E"/>
        <bgColor rgb="FF042C53"/>
      </patternFill>
    </fill>
    <fill>
      <patternFill patternType="solid">
        <fgColor rgb="FF0F3460"/>
        <bgColor rgb="FF042C53"/>
      </patternFill>
    </fill>
    <fill>
      <patternFill patternType="solid">
        <fgColor rgb="FFDCFCE7"/>
        <bgColor rgb="FFEAF3DE"/>
      </patternFill>
    </fill>
    <fill>
      <patternFill patternType="solid">
        <fgColor rgb="FFF1F5F9"/>
        <bgColor rgb="FFE6F1FB"/>
      </patternFill>
    </fill>
    <fill>
      <patternFill patternType="solid">
        <fgColor rgb="FFFEE2E2"/>
        <bgColor rgb="FFFCEBEB"/>
      </patternFill>
    </fill>
    <fill>
      <patternFill patternType="solid">
        <fgColor rgb="FFFFFF00"/>
        <bgColor rgb="FFFFFF00"/>
      </patternFill>
    </fill>
    <fill>
      <patternFill patternType="solid">
        <fgColor rgb="FFFEF3C7"/>
        <bgColor rgb="FFFAEEDA"/>
      </patternFill>
    </fill>
    <fill>
      <patternFill patternType="solid">
        <fgColor rgb="FFB5D4F4"/>
        <bgColor rgb="FFCBD5E1"/>
      </patternFill>
    </fill>
    <fill>
      <patternFill patternType="solid">
        <fgColor rgb="FFE6F1FB"/>
        <bgColor rgb="FFF1F5F9"/>
      </patternFill>
    </fill>
    <fill>
      <patternFill patternType="solid">
        <fgColor rgb="FF185FA5"/>
        <bgColor rgb="FF0C447C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EAF3DE"/>
        <bgColor rgb="FFFAEED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/>
      <right/>
      <top style="medium">
        <color rgb="FF64748B"/>
      </top>
      <bottom/>
      <diagonal/>
    </border>
    <border diagonalUp="false" diagonalDown="false">
      <left style="thin">
        <color rgb="FFCBD5E1"/>
      </left>
      <right/>
      <top style="thin">
        <color rgb="FFCBD5E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1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1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3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DC2626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D97706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A34A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  <sz val="9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16A34A"/>
        <sz val="11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DC2626"/>
        <sz val="11"/>
      </font>
      <fill>
        <patternFill>
          <bgColor rgb="FFFEE2E2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FCEBEB"/>
      <rgbColor rgb="FF808080"/>
      <rgbColor rgb="FF9999FF"/>
      <rgbColor rgb="FF633806"/>
      <rgbColor rgb="FFFEF3C7"/>
      <rgbColor rgb="FFDCFCE7"/>
      <rgbColor rgb="FF660066"/>
      <rgbColor rgb="FFFF8080"/>
      <rgbColor rgb="FF185FA5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EAF3DE"/>
      <rgbColor rgb="FFFAEEDA"/>
      <rgbColor rgb="FFB5D4F4"/>
      <rgbColor rgb="FFF1F5F9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4748B"/>
      <rgbColor rgb="FF94A3B8"/>
      <rgbColor rgb="FF0F3460"/>
      <rgbColor rgb="FF16A34A"/>
      <rgbColor rgb="FF042C53"/>
      <rgbColor rgb="FF27500A"/>
      <rgbColor rgb="FF791F1F"/>
      <rgbColor rgb="FF993366"/>
      <rgbColor rgb="FF0C447C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.43"/>
    <col collapsed="false" customWidth="true" hidden="false" outlineLevel="0" max="5" min="3" style="1" width="16"/>
    <col collapsed="false" customWidth="true" hidden="false" outlineLevel="0" max="6" min="6" style="1" width="14"/>
    <col collapsed="false" customWidth="true" hidden="false" outlineLevel="0" max="7" min="7" style="1" width="50"/>
    <col collapsed="false" customWidth="true" hidden="false" outlineLevel="0" max="26" min="8" style="1" width="8.71"/>
  </cols>
  <sheetData>
    <row r="2" customFormat="false" ht="30" hidden="false" customHeight="true" outlineLevel="0" collapsed="false">
      <c r="B2" s="2" t="s">
        <v>0</v>
      </c>
      <c r="C2" s="2"/>
      <c r="D2" s="2"/>
      <c r="E2" s="2"/>
      <c r="F2" s="2"/>
    </row>
    <row r="3" customFormat="false" ht="19.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</row>
    <row r="6" customFormat="false" ht="15" hidden="false" customHeight="true" outlineLevel="0" collapsed="false">
      <c r="C6" s="5" t="s">
        <v>3</v>
      </c>
      <c r="D6" s="6" t="s">
        <v>4</v>
      </c>
      <c r="E6" s="7" t="s">
        <v>5</v>
      </c>
      <c r="F6" s="8" t="s">
        <v>6</v>
      </c>
      <c r="G6" s="9" t="s">
        <v>7</v>
      </c>
    </row>
    <row r="7" customFormat="false" ht="15" hidden="false" customHeight="true" outlineLevel="0" collapsed="false">
      <c r="B7" s="10" t="s">
        <v>8</v>
      </c>
      <c r="C7" s="11" t="n">
        <v>3000000</v>
      </c>
      <c r="D7" s="11" t="n">
        <v>2500000</v>
      </c>
      <c r="E7" s="11" t="n">
        <v>1200000</v>
      </c>
      <c r="F7" s="12" t="s">
        <v>9</v>
      </c>
      <c r="G7" s="13" t="s">
        <v>10</v>
      </c>
    </row>
    <row r="8" customFormat="false" ht="15" hidden="false" customHeight="true" outlineLevel="0" collapsed="false">
      <c r="B8" s="10" t="s">
        <v>11</v>
      </c>
      <c r="C8" s="14" t="n">
        <v>0.012</v>
      </c>
      <c r="D8" s="15" t="n">
        <v>0.01</v>
      </c>
      <c r="E8" s="14" t="n">
        <v>0.002</v>
      </c>
      <c r="F8" s="12" t="s">
        <v>12</v>
      </c>
      <c r="G8" s="13" t="s">
        <v>13</v>
      </c>
    </row>
    <row r="9" customFormat="false" ht="15" hidden="false" customHeight="true" outlineLevel="0" collapsed="false">
      <c r="B9" s="10" t="s">
        <v>14</v>
      </c>
      <c r="C9" s="11" t="n">
        <v>1000</v>
      </c>
      <c r="D9" s="11" t="n">
        <v>1000</v>
      </c>
      <c r="E9" s="11" t="n">
        <v>1000</v>
      </c>
      <c r="F9" s="12" t="s">
        <v>15</v>
      </c>
      <c r="G9" s="13" t="s">
        <v>16</v>
      </c>
    </row>
    <row r="11" customFormat="false" ht="15" hidden="false" customHeight="true" outlineLevel="0" collapsed="false">
      <c r="B11" s="4" t="s">
        <v>17</v>
      </c>
      <c r="C11" s="4"/>
      <c r="D11" s="4"/>
      <c r="E11" s="4"/>
      <c r="F11" s="4"/>
    </row>
    <row r="12" customFormat="false" ht="15" hidden="false" customHeight="true" outlineLevel="0" collapsed="false">
      <c r="B12" s="10" t="s">
        <v>18</v>
      </c>
      <c r="C12" s="11" t="n">
        <v>100000</v>
      </c>
      <c r="D12" s="11" t="n">
        <v>200000</v>
      </c>
      <c r="E12" s="11" t="n">
        <v>400000</v>
      </c>
      <c r="F12" s="12" t="s">
        <v>9</v>
      </c>
      <c r="G12" s="13" t="s">
        <v>19</v>
      </c>
    </row>
    <row r="13" customFormat="false" ht="15" hidden="false" customHeight="true" outlineLevel="0" collapsed="false">
      <c r="B13" s="10" t="s">
        <v>20</v>
      </c>
      <c r="C13" s="11" t="n">
        <v>50000</v>
      </c>
      <c r="D13" s="11" t="n">
        <v>150000</v>
      </c>
      <c r="E13" s="11" t="n">
        <v>300000</v>
      </c>
      <c r="F13" s="12" t="s">
        <v>9</v>
      </c>
      <c r="G13" s="13" t="s">
        <v>21</v>
      </c>
    </row>
    <row r="14" customFormat="false" ht="15" hidden="false" customHeight="true" outlineLevel="0" collapsed="false">
      <c r="B14" s="10" t="s">
        <v>22</v>
      </c>
      <c r="C14" s="11" t="n">
        <v>100000</v>
      </c>
      <c r="D14" s="11" t="n">
        <v>250000</v>
      </c>
      <c r="E14" s="11" t="n">
        <v>500000</v>
      </c>
      <c r="F14" s="12" t="s">
        <v>9</v>
      </c>
      <c r="G14" s="13" t="s">
        <v>23</v>
      </c>
    </row>
    <row r="15" customFormat="false" ht="15" hidden="false" customHeight="true" outlineLevel="0" collapsed="false">
      <c r="B15" s="16" t="s">
        <v>24</v>
      </c>
      <c r="C15" s="17" t="n">
        <f aca="false">C12+C13+C14</f>
        <v>250000</v>
      </c>
      <c r="D15" s="17" t="n">
        <f aca="false">D12+D13+D14</f>
        <v>600000</v>
      </c>
      <c r="E15" s="17" t="n">
        <f aca="false">E12+E13+E14</f>
        <v>1200000</v>
      </c>
      <c r="F15" s="18"/>
    </row>
    <row r="17" customFormat="false" ht="15" hidden="false" customHeight="true" outlineLevel="0" collapsed="false">
      <c r="B17" s="4" t="s">
        <v>25</v>
      </c>
      <c r="C17" s="4"/>
      <c r="D17" s="4"/>
      <c r="E17" s="4"/>
      <c r="F17" s="4"/>
    </row>
    <row r="18" customFormat="false" ht="15" hidden="false" customHeight="true" outlineLevel="0" collapsed="false">
      <c r="B18" s="10" t="s">
        <v>26</v>
      </c>
      <c r="C18" s="19" t="n">
        <v>0.02</v>
      </c>
      <c r="D18" s="20" t="n">
        <v>0.03</v>
      </c>
      <c r="E18" s="20" t="n">
        <v>0.05</v>
      </c>
      <c r="F18" s="12" t="s">
        <v>27</v>
      </c>
      <c r="G18" s="13" t="s">
        <v>28</v>
      </c>
    </row>
    <row r="19" customFormat="false" ht="15" hidden="false" customHeight="true" outlineLevel="0" collapsed="false">
      <c r="B19" s="21" t="s">
        <v>29</v>
      </c>
      <c r="C19" s="22" t="n">
        <f aca="false">IFERROR(1/C18,0)</f>
        <v>50</v>
      </c>
      <c r="D19" s="22" t="n">
        <f aca="false">IFERROR(1/D18,0)</f>
        <v>33.3333333333333</v>
      </c>
      <c r="E19" s="22" t="n">
        <f aca="false">IFERROR(1/E18,0)</f>
        <v>20</v>
      </c>
      <c r="F19" s="23"/>
    </row>
    <row r="21" customFormat="false" ht="15.75" hidden="false" customHeight="true" outlineLevel="0" collapsed="false">
      <c r="B21" s="4" t="s">
        <v>30</v>
      </c>
      <c r="C21" s="4"/>
      <c r="D21" s="4"/>
      <c r="E21" s="4"/>
      <c r="F21" s="4"/>
    </row>
    <row r="22" customFormat="false" ht="15.75" hidden="false" customHeight="true" outlineLevel="0" collapsed="false">
      <c r="B22" s="10" t="s">
        <v>31</v>
      </c>
      <c r="C22" s="11" t="n">
        <v>5000000</v>
      </c>
      <c r="D22" s="24" t="n">
        <v>8000000</v>
      </c>
      <c r="E22" s="11" t="n">
        <v>25000000</v>
      </c>
      <c r="F22" s="12" t="s">
        <v>9</v>
      </c>
      <c r="G22" s="13" t="s">
        <v>32</v>
      </c>
    </row>
    <row r="23" customFormat="false" ht="15.75" hidden="false" customHeight="true" outlineLevel="0" collapsed="false"/>
    <row r="24" customFormat="false" ht="15.75" hidden="false" customHeight="true" outlineLevel="0" collapsed="false">
      <c r="B24" s="4" t="s">
        <v>33</v>
      </c>
      <c r="C24" s="4"/>
      <c r="D24" s="4"/>
      <c r="E24" s="4"/>
      <c r="F24" s="4"/>
    </row>
    <row r="25" customFormat="false" ht="15.75" hidden="false" customHeight="true" outlineLevel="0" collapsed="false">
      <c r="B25" s="10" t="s">
        <v>34</v>
      </c>
      <c r="C25" s="11" t="n">
        <v>120000000</v>
      </c>
      <c r="D25" s="24" t="n">
        <v>140000000</v>
      </c>
      <c r="E25" s="11" t="n">
        <v>220000000</v>
      </c>
      <c r="F25" s="12" t="s">
        <v>35</v>
      </c>
      <c r="G25" s="13" t="s">
        <v>36</v>
      </c>
    </row>
    <row r="26" customFormat="false" ht="15.75" hidden="false" customHeight="true" outlineLevel="0" collapsed="false">
      <c r="B26" s="10" t="s">
        <v>37</v>
      </c>
      <c r="C26" s="11" t="n">
        <v>15000000</v>
      </c>
      <c r="D26" s="11" t="n">
        <v>20000000</v>
      </c>
      <c r="E26" s="11" t="n">
        <v>40000000</v>
      </c>
      <c r="F26" s="12" t="s">
        <v>35</v>
      </c>
    </row>
    <row r="27" customFormat="false" ht="15.75" hidden="false" customHeight="true" outlineLevel="0" collapsed="false">
      <c r="B27" s="10" t="s">
        <v>38</v>
      </c>
      <c r="C27" s="11" t="n">
        <v>30000000</v>
      </c>
      <c r="D27" s="11" t="n">
        <v>60000000</v>
      </c>
      <c r="E27" s="11" t="n">
        <v>100000000</v>
      </c>
      <c r="F27" s="12" t="s">
        <v>35</v>
      </c>
    </row>
    <row r="28" customFormat="false" ht="15.75" hidden="false" customHeight="true" outlineLevel="0" collapsed="false">
      <c r="B28" s="21" t="s">
        <v>39</v>
      </c>
      <c r="C28" s="25" t="n">
        <f aca="false">SUM(C25:C27)</f>
        <v>165000000</v>
      </c>
      <c r="D28" s="25" t="n">
        <f aca="false">SUM(D25:D27)</f>
        <v>220000000</v>
      </c>
      <c r="E28" s="25" t="n">
        <f aca="false">SUM(E25:E27)</f>
        <v>360000000</v>
      </c>
      <c r="F28" s="23"/>
    </row>
    <row r="29" customFormat="false" ht="15.75" hidden="false" customHeight="true" outlineLevel="0" collapsed="false"/>
    <row r="30" customFormat="false" ht="15.75" hidden="false" customHeight="true" outlineLevel="0" collapsed="false">
      <c r="B30" s="4" t="s">
        <v>40</v>
      </c>
      <c r="C30" s="4"/>
      <c r="D30" s="4"/>
      <c r="E30" s="4"/>
      <c r="F30" s="4"/>
    </row>
    <row r="31" customFormat="false" ht="15.75" hidden="false" customHeight="true" outlineLevel="0" collapsed="false">
      <c r="B31" s="10" t="s">
        <v>41</v>
      </c>
      <c r="C31" s="11" t="n">
        <v>1200000000</v>
      </c>
      <c r="D31" s="11" t="n">
        <v>700000000</v>
      </c>
      <c r="E31" s="11" t="n">
        <v>450000000</v>
      </c>
      <c r="F31" s="12" t="s">
        <v>9</v>
      </c>
      <c r="G31" s="13" t="s">
        <v>42</v>
      </c>
    </row>
    <row r="32" customFormat="false" ht="15.75" hidden="false" customHeight="true" outlineLevel="0" collapsed="false">
      <c r="B32" s="10" t="s">
        <v>43</v>
      </c>
      <c r="C32" s="11" t="n">
        <v>5000000000</v>
      </c>
      <c r="D32" s="24" t="n">
        <v>5000000000</v>
      </c>
      <c r="E32" s="11" t="n">
        <v>2000000000</v>
      </c>
      <c r="F32" s="12" t="s">
        <v>9</v>
      </c>
      <c r="G32" s="13" t="s">
        <v>44</v>
      </c>
    </row>
    <row r="33" customFormat="false" ht="15.75" hidden="false" customHeight="true" outlineLevel="0" collapsed="false"/>
    <row r="34" customFormat="false" ht="15.75" hidden="false" customHeight="true" outlineLevel="0" collapsed="false">
      <c r="B34" s="4" t="s">
        <v>45</v>
      </c>
      <c r="C34" s="4"/>
      <c r="D34" s="4"/>
      <c r="E34" s="4"/>
      <c r="F34" s="4"/>
    </row>
    <row r="35" customFormat="false" ht="15.75" hidden="false" customHeight="true" outlineLevel="0" collapsed="false">
      <c r="B35" s="10" t="s">
        <v>46</v>
      </c>
      <c r="C35" s="19" t="n">
        <v>0.03</v>
      </c>
      <c r="D35" s="19" t="n">
        <v>0.05</v>
      </c>
      <c r="E35" s="19" t="n">
        <v>0.1</v>
      </c>
      <c r="F35" s="12" t="s">
        <v>47</v>
      </c>
      <c r="G35" s="13" t="s">
        <v>48</v>
      </c>
    </row>
    <row r="36" customFormat="false" ht="15.75" hidden="false" customHeight="true" outlineLevel="0" collapsed="false">
      <c r="B36" s="21" t="s">
        <v>49</v>
      </c>
      <c r="C36" s="26" t="n">
        <f aca="false">(1+C35)^(1/12)-1</f>
        <v>0.00246626977230369</v>
      </c>
      <c r="D36" s="26" t="n">
        <f aca="false">(1+D35)^(1/12)-1</f>
        <v>0.00407412378364835</v>
      </c>
      <c r="E36" s="26" t="n">
        <f aca="false">(1+E35)^(1/12)-1</f>
        <v>0.00797414042890376</v>
      </c>
      <c r="F36" s="23"/>
    </row>
    <row r="37" customFormat="false" ht="15.75" hidden="false" customHeight="true" outlineLevel="0" collapsed="false"/>
    <row r="38" customFormat="false" ht="15.75" hidden="false" customHeight="true" outlineLevel="0" collapsed="false">
      <c r="B38" s="4" t="s">
        <v>50</v>
      </c>
      <c r="C38" s="4"/>
      <c r="D38" s="4"/>
      <c r="E38" s="4"/>
      <c r="F38" s="4"/>
    </row>
    <row r="39" customFormat="false" ht="79.5" hidden="false" customHeight="true" outlineLevel="0" collapsed="false">
      <c r="B39" s="27" t="s">
        <v>51</v>
      </c>
      <c r="C39" s="27"/>
      <c r="D39" s="27"/>
      <c r="E39" s="27"/>
      <c r="F39" s="27"/>
    </row>
    <row r="40" customFormat="false" ht="24.75" hidden="false" customHeight="true" outlineLevel="0" collapsed="false">
      <c r="B40" s="27"/>
      <c r="C40" s="27"/>
      <c r="D40" s="27"/>
      <c r="E40" s="27"/>
      <c r="F40" s="27"/>
    </row>
    <row r="41" customFormat="false" ht="24.75" hidden="false" customHeight="true" outlineLevel="0" collapsed="false">
      <c r="B41" s="27"/>
      <c r="C41" s="27"/>
      <c r="D41" s="27"/>
      <c r="E41" s="27"/>
      <c r="F41" s="27"/>
    </row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1">
    <mergeCell ref="B2:F2"/>
    <mergeCell ref="B3:G3"/>
    <mergeCell ref="B5:F5"/>
    <mergeCell ref="B11:F11"/>
    <mergeCell ref="B17:F17"/>
    <mergeCell ref="B21:F21"/>
    <mergeCell ref="B24:F24"/>
    <mergeCell ref="B30:F30"/>
    <mergeCell ref="B34:F34"/>
    <mergeCell ref="B38:F38"/>
    <mergeCell ref="B39:F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5" min="3" style="1" width="16"/>
    <col collapsed="false" customWidth="true" hidden="false" outlineLevel="0" max="6" min="6" style="1" width="14"/>
    <col collapsed="false" customWidth="true" hidden="false" outlineLevel="0" max="7" min="7" style="1" width="50"/>
    <col collapsed="false" customWidth="true" hidden="false" outlineLevel="0" max="26" min="8" style="1" width="8.71"/>
  </cols>
  <sheetData>
    <row r="2" customFormat="false" ht="30" hidden="false" customHeight="true" outlineLevel="0" collapsed="false">
      <c r="B2" s="2" t="s">
        <v>52</v>
      </c>
      <c r="C2" s="2"/>
      <c r="D2" s="2"/>
      <c r="E2" s="2"/>
      <c r="F2" s="2"/>
    </row>
    <row r="3" customFormat="false" ht="19.5" hidden="false" customHeight="true" outlineLevel="0" collapsed="false">
      <c r="B3" s="3" t="s">
        <v>53</v>
      </c>
      <c r="C3" s="3"/>
      <c r="D3" s="3"/>
      <c r="E3" s="3"/>
      <c r="F3" s="3"/>
      <c r="G3" s="3"/>
    </row>
    <row r="5" customFormat="false" ht="15" hidden="false" customHeight="true" outlineLevel="0" collapsed="false">
      <c r="B5" s="9" t="s">
        <v>54</v>
      </c>
      <c r="C5" s="5" t="s">
        <v>3</v>
      </c>
      <c r="D5" s="6" t="s">
        <v>4</v>
      </c>
      <c r="E5" s="7" t="s">
        <v>5</v>
      </c>
      <c r="F5" s="8" t="s">
        <v>6</v>
      </c>
      <c r="G5" s="9" t="s">
        <v>55</v>
      </c>
    </row>
    <row r="7" customFormat="false" ht="15" hidden="false" customHeight="true" outlineLevel="0" collapsed="false">
      <c r="B7" s="4" t="s">
        <v>56</v>
      </c>
      <c r="C7" s="4"/>
      <c r="D7" s="4"/>
      <c r="E7" s="4"/>
      <c r="F7" s="4"/>
    </row>
    <row r="8" customFormat="false" ht="15" hidden="false" customHeight="true" outlineLevel="0" collapsed="false">
      <c r="B8" s="10" t="s">
        <v>57</v>
      </c>
      <c r="C8" s="28" t="n">
        <f aca="false">'1. Assumptions'!C7</f>
        <v>3000000</v>
      </c>
      <c r="D8" s="28" t="n">
        <f aca="false">'1. Assumptions'!D7</f>
        <v>2500000</v>
      </c>
      <c r="E8" s="28" t="n">
        <f aca="false">'1. Assumptions'!E7</f>
        <v>1200000</v>
      </c>
      <c r="F8" s="12" t="s">
        <v>9</v>
      </c>
      <c r="G8" s="13" t="s">
        <v>58</v>
      </c>
    </row>
    <row r="9" customFormat="false" ht="15" hidden="false" customHeight="true" outlineLevel="0" collapsed="false">
      <c r="B9" s="10" t="s">
        <v>59</v>
      </c>
      <c r="C9" s="28" t="n">
        <f aca="false">'1. Assumptions'!C15</f>
        <v>250000</v>
      </c>
      <c r="D9" s="28" t="n">
        <f aca="false">'1. Assumptions'!D15</f>
        <v>600000</v>
      </c>
      <c r="E9" s="28" t="n">
        <f aca="false">'1. Assumptions'!E15</f>
        <v>1200000</v>
      </c>
      <c r="F9" s="12" t="s">
        <v>9</v>
      </c>
    </row>
    <row r="10" customFormat="false" ht="15" hidden="false" customHeight="true" outlineLevel="0" collapsed="false">
      <c r="B10" s="21" t="s">
        <v>60</v>
      </c>
      <c r="C10" s="25" t="n">
        <f aca="false">C8-C9</f>
        <v>2750000</v>
      </c>
      <c r="D10" s="25" t="n">
        <f aca="false">D8-D9</f>
        <v>1900000</v>
      </c>
      <c r="E10" s="25" t="n">
        <f aca="false">E8-E9</f>
        <v>0</v>
      </c>
      <c r="F10" s="23"/>
    </row>
    <row r="11" customFormat="false" ht="15" hidden="false" customHeight="true" outlineLevel="0" collapsed="false">
      <c r="B11" s="21" t="s">
        <v>61</v>
      </c>
      <c r="C11" s="26" t="n">
        <f aca="false">IFERROR(C10/C8,0)</f>
        <v>0.916666666666667</v>
      </c>
      <c r="D11" s="26" t="n">
        <f aca="false">IFERROR(D10/D8,0)</f>
        <v>0.76</v>
      </c>
      <c r="E11" s="26" t="n">
        <f aca="false">IFERROR(E10/E8,0)</f>
        <v>0</v>
      </c>
      <c r="F11" s="23"/>
      <c r="G11" s="13" t="s">
        <v>62</v>
      </c>
    </row>
    <row r="13" customFormat="false" ht="15" hidden="false" customHeight="true" outlineLevel="0" collapsed="false">
      <c r="B13" s="4" t="s">
        <v>63</v>
      </c>
      <c r="C13" s="4"/>
      <c r="D13" s="4"/>
      <c r="E13" s="4"/>
      <c r="F13" s="4"/>
    </row>
    <row r="14" customFormat="false" ht="15" hidden="false" customHeight="true" outlineLevel="0" collapsed="false">
      <c r="B14" s="10" t="s">
        <v>64</v>
      </c>
      <c r="C14" s="29" t="n">
        <f aca="false">'1. Assumptions'!C19</f>
        <v>50</v>
      </c>
      <c r="D14" s="29" t="n">
        <f aca="false">'1. Assumptions'!D19</f>
        <v>33.3333333333333</v>
      </c>
      <c r="E14" s="29" t="n">
        <f aca="false">'1. Assumptions'!E19</f>
        <v>20</v>
      </c>
      <c r="F14" s="12" t="s">
        <v>65</v>
      </c>
    </row>
    <row r="15" customFormat="false" ht="15" hidden="false" customHeight="true" outlineLevel="0" collapsed="false">
      <c r="B15" s="21" t="s">
        <v>66</v>
      </c>
      <c r="C15" s="25" t="n">
        <f aca="false">C10*C14</f>
        <v>137500000</v>
      </c>
      <c r="D15" s="25" t="n">
        <f aca="false">D10*D14</f>
        <v>63333333.3333333</v>
      </c>
      <c r="E15" s="25" t="n">
        <f aca="false">E10*E14</f>
        <v>0</v>
      </c>
      <c r="F15" s="23"/>
      <c r="G15" s="13" t="s">
        <v>67</v>
      </c>
    </row>
    <row r="17" customFormat="false" ht="15" hidden="false" customHeight="true" outlineLevel="0" collapsed="false">
      <c r="B17" s="4" t="s">
        <v>68</v>
      </c>
      <c r="C17" s="4"/>
      <c r="D17" s="4"/>
      <c r="E17" s="4"/>
      <c r="F17" s="4"/>
    </row>
    <row r="18" customFormat="false" ht="15" hidden="false" customHeight="true" outlineLevel="0" collapsed="false">
      <c r="B18" s="10" t="s">
        <v>69</v>
      </c>
      <c r="C18" s="28" t="n">
        <f aca="false">'1. Assumptions'!C22</f>
        <v>5000000</v>
      </c>
      <c r="D18" s="28" t="n">
        <f aca="false">'1. Assumptions'!D22</f>
        <v>8000000</v>
      </c>
      <c r="E18" s="28" t="n">
        <f aca="false">'1. Assumptions'!E22</f>
        <v>25000000</v>
      </c>
      <c r="F18" s="12" t="s">
        <v>9</v>
      </c>
    </row>
    <row r="20" customFormat="false" ht="15" hidden="false" customHeight="true" outlineLevel="0" collapsed="false">
      <c r="B20" s="4" t="s">
        <v>70</v>
      </c>
      <c r="C20" s="4"/>
      <c r="D20" s="4"/>
      <c r="E20" s="4"/>
      <c r="F20" s="4"/>
    </row>
    <row r="21" customFormat="false" ht="15.75" hidden="false" customHeight="true" outlineLevel="0" collapsed="false">
      <c r="B21" s="21" t="s">
        <v>71</v>
      </c>
      <c r="C21" s="30" t="n">
        <f aca="false">IFERROR(C15/C18,0)</f>
        <v>27.5</v>
      </c>
      <c r="D21" s="30" t="n">
        <f aca="false">IFERROR(D15/D18,0)</f>
        <v>7.91666666666667</v>
      </c>
      <c r="E21" s="30" t="n">
        <f aca="false">IFERROR(E15/E18,0)</f>
        <v>0</v>
      </c>
      <c r="F21" s="23"/>
      <c r="G21" s="13" t="s">
        <v>72</v>
      </c>
    </row>
    <row r="22" customFormat="false" ht="15.75" hidden="false" customHeight="true" outlineLevel="0" collapsed="false">
      <c r="B22" s="21" t="s">
        <v>73</v>
      </c>
      <c r="C22" s="22" t="n">
        <f aca="false">IFERROR(C18/C10,0)</f>
        <v>1.81818181818182</v>
      </c>
      <c r="D22" s="22" t="n">
        <f aca="false">IFERROR(D18/D10,0)</f>
        <v>4.21052631578947</v>
      </c>
      <c r="E22" s="22" t="n">
        <f aca="false">IFERROR(E18/E10,0)</f>
        <v>0</v>
      </c>
      <c r="F22" s="23"/>
      <c r="G22" s="13" t="s">
        <v>74</v>
      </c>
    </row>
    <row r="23" customFormat="false" ht="15.75" hidden="false" customHeight="true" outlineLevel="0" collapsed="false"/>
    <row r="24" customFormat="false" ht="15.75" hidden="false" customHeight="true" outlineLevel="0" collapsed="false">
      <c r="B24" s="4" t="s">
        <v>75</v>
      </c>
      <c r="C24" s="4"/>
      <c r="D24" s="4"/>
      <c r="E24" s="4"/>
      <c r="F24" s="4"/>
    </row>
    <row r="25" customFormat="false" ht="15.75" hidden="false" customHeight="true" outlineLevel="0" collapsed="false">
      <c r="B25" s="9" t="s">
        <v>76</v>
      </c>
      <c r="C25" s="31" t="str">
        <f aca="false">IF(AND(C21&gt;=3,C22&lt;=12),"✓ HEALTHY",IF(OR(C21&lt;1,C22&gt;18),"✗ UNHEALTHY","⚠ WATCH"))</f>
        <v>✓ HEALTHY</v>
      </c>
      <c r="D25" s="31" t="str">
        <f aca="false">IF(AND(D21&gt;=3,D22&lt;=12),"✓ HEALTHY",IF(OR(D21&lt;1,D22&gt;18),"✗ UNHEALTHY","⚠ WATCH"))</f>
        <v>✓ HEALTHY</v>
      </c>
      <c r="E25" s="31" t="str">
        <f aca="false">IF(AND(E21&gt;=3,E22&lt;=12),"✓ HEALTHY",IF(OR(E21&lt;1,E22&gt;18),"✗ UNHEALTHY","⚠ WATCH"))</f>
        <v>✗ UNHEALTHY</v>
      </c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F2"/>
    <mergeCell ref="B3:G3"/>
    <mergeCell ref="B7:F7"/>
    <mergeCell ref="B13:F13"/>
    <mergeCell ref="B17:F17"/>
    <mergeCell ref="B20:F20"/>
    <mergeCell ref="B24:F24"/>
  </mergeCells>
  <conditionalFormatting sqref="C21">
    <cfRule type="cellIs" priority="2" operator="lessThan" aboveAverage="0" equalAverage="0" bottom="0" percent="0" rank="0" text="" dxfId="0">
      <formula>1</formula>
    </cfRule>
    <cfRule type="cellIs" priority="3" operator="between" aboveAverage="0" equalAverage="0" bottom="0" percent="0" rank="0" text="" dxfId="1">
      <formula>1</formula>
      <formula>3</formula>
    </cfRule>
    <cfRule type="cellIs" priority="4" operator="greaterThanOrEqual" aboveAverage="0" equalAverage="0" bottom="0" percent="0" rank="0" text="" dxfId="2">
      <formula>3</formula>
    </cfRule>
  </conditionalFormatting>
  <conditionalFormatting sqref="D21">
    <cfRule type="cellIs" priority="5" operator="lessThan" aboveAverage="0" equalAverage="0" bottom="0" percent="0" rank="0" text="" dxfId="0">
      <formula>1</formula>
    </cfRule>
    <cfRule type="cellIs" priority="6" operator="between" aboveAverage="0" equalAverage="0" bottom="0" percent="0" rank="0" text="" dxfId="1">
      <formula>1</formula>
      <formula>3</formula>
    </cfRule>
    <cfRule type="cellIs" priority="7" operator="greaterThanOrEqual" aboveAverage="0" equalAverage="0" bottom="0" percent="0" rank="0" text="" dxfId="2">
      <formula>3</formula>
    </cfRule>
  </conditionalFormatting>
  <conditionalFormatting sqref="E21">
    <cfRule type="cellIs" priority="8" operator="lessThan" aboveAverage="0" equalAverage="0" bottom="0" percent="0" rank="0" text="" dxfId="0">
      <formula>1</formula>
    </cfRule>
    <cfRule type="cellIs" priority="9" operator="between" aboveAverage="0" equalAverage="0" bottom="0" percent="0" rank="0" text="" dxfId="1">
      <formula>1</formula>
      <formula>3</formula>
    </cfRule>
    <cfRule type="cellIs" priority="10" operator="greaterThanOrEqual" aboveAverage="0" equalAverage="0" bottom="0" percent="0" rank="0" text="" dxfId="2">
      <formula>3</formula>
    </cfRule>
  </conditionalFormatting>
  <conditionalFormatting sqref="C22">
    <cfRule type="cellIs" priority="11" operator="greaterThan" aboveAverage="0" equalAverage="0" bottom="0" percent="0" rank="0" text="" dxfId="0">
      <formula>18</formula>
    </cfRule>
    <cfRule type="cellIs" priority="12" operator="between" aboveAverage="0" equalAverage="0" bottom="0" percent="0" rank="0" text="" dxfId="1">
      <formula>12</formula>
      <formula>18</formula>
    </cfRule>
    <cfRule type="cellIs" priority="13" operator="lessThanOrEqual" aboveAverage="0" equalAverage="0" bottom="0" percent="0" rank="0" text="" dxfId="2">
      <formula>12</formula>
    </cfRule>
  </conditionalFormatting>
  <conditionalFormatting sqref="D22">
    <cfRule type="cellIs" priority="14" operator="greaterThan" aboveAverage="0" equalAverage="0" bottom="0" percent="0" rank="0" text="" dxfId="0">
      <formula>18</formula>
    </cfRule>
    <cfRule type="cellIs" priority="15" operator="between" aboveAverage="0" equalAverage="0" bottom="0" percent="0" rank="0" text="" dxfId="1">
      <formula>12</formula>
      <formula>18</formula>
    </cfRule>
    <cfRule type="cellIs" priority="16" operator="lessThanOrEqual" aboveAverage="0" equalAverage="0" bottom="0" percent="0" rank="0" text="" dxfId="2">
      <formula>12</formula>
    </cfRule>
  </conditionalFormatting>
  <conditionalFormatting sqref="E22">
    <cfRule type="cellIs" priority="17" operator="greaterThan" aboveAverage="0" equalAverage="0" bottom="0" percent="0" rank="0" text="" dxfId="0">
      <formula>18</formula>
    </cfRule>
    <cfRule type="cellIs" priority="18" operator="between" aboveAverage="0" equalAverage="0" bottom="0" percent="0" rank="0" text="" dxfId="1">
      <formula>12</formula>
      <formula>18</formula>
    </cfRule>
    <cfRule type="cellIs" priority="19" operator="lessThanOrEqual" aboveAverage="0" equalAverage="0" bottom="0" percent="0" rank="0" text="" dxfId="2">
      <formula>12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1" topLeftCell="C22" activePane="bottomRight" state="frozen"/>
      <selection pane="topLeft" activeCell="A1" activeCellId="0" sqref="A1"/>
      <selection pane="topRight" activeCell="C1" activeCellId="0" sqref="C1"/>
      <selection pane="bottomLeft" activeCell="A22" activeCellId="0" sqref="A22"/>
      <selection pane="bottomRight" activeCell="C22" activeCellId="0" sqref="C22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26" min="3" style="1" width="13"/>
    <col collapsed="false" customWidth="true" hidden="false" outlineLevel="0" max="27" min="27" style="1" width="16"/>
  </cols>
  <sheetData>
    <row r="2" customFormat="false" ht="30" hidden="false" customHeight="true" outlineLevel="0" collapsed="false">
      <c r="B2" s="2" t="s">
        <v>77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2" t="s">
        <v>78</v>
      </c>
      <c r="C4" s="33" t="s">
        <v>4</v>
      </c>
      <c r="D4" s="3" t="s">
        <v>79</v>
      </c>
      <c r="E4" s="3"/>
      <c r="F4" s="3"/>
      <c r="G4" s="3"/>
      <c r="H4" s="3"/>
    </row>
    <row r="6" customFormat="false" ht="15" hidden="false" customHeight="true" outlineLevel="0" collapsed="false">
      <c r="B6" s="34" t="s">
        <v>80</v>
      </c>
      <c r="C6" s="34" t="n">
        <f aca="false" t="array" ref="C6:C6">MATCH(C4,{"Optimistic","Base","Pessimistic"},0)</f>
        <v>2</v>
      </c>
    </row>
    <row r="7" customFormat="false" ht="15" hidden="false" customHeight="true" outlineLevel="0" collapsed="false">
      <c r="B7" s="35" t="s">
        <v>81</v>
      </c>
    </row>
    <row r="8" customFormat="false" ht="15" hidden="false" customHeight="true" outlineLevel="0" collapsed="false">
      <c r="B8" s="36" t="s">
        <v>82</v>
      </c>
      <c r="C8" s="37" t="n">
        <f aca="false">CHOOSE($C$6,'1. Assumptions'!C7,'1. Assumptions'!D7,'1. Assumptions'!E7)</f>
        <v>2500000</v>
      </c>
    </row>
    <row r="9" customFormat="false" ht="15" hidden="false" customHeight="true" outlineLevel="0" collapsed="false">
      <c r="B9" s="36" t="s">
        <v>83</v>
      </c>
      <c r="C9" s="38" t="n">
        <f aca="false">CHOOSE($C$6,'1. Assumptions'!C8,'1. Assumptions'!D8,'1. Assumptions'!E8)</f>
        <v>0.01</v>
      </c>
    </row>
    <row r="10" customFormat="false" ht="15" hidden="false" customHeight="true" outlineLevel="0" collapsed="false">
      <c r="B10" s="36" t="s">
        <v>84</v>
      </c>
      <c r="C10" s="37" t="n">
        <f aca="false">CHOOSE($C$6,'1. Assumptions'!C9,'1. Assumptions'!D9,'1. Assumptions'!E9)</f>
        <v>1000</v>
      </c>
    </row>
    <row r="11" customFormat="false" ht="15" hidden="false" customHeight="true" outlineLevel="0" collapsed="false">
      <c r="B11" s="36" t="s">
        <v>85</v>
      </c>
      <c r="C11" s="37" t="n">
        <f aca="false">CHOOSE($C$6,'1. Assumptions'!C15,'1. Assumptions'!D15,'1. Assumptions'!E15)</f>
        <v>600000</v>
      </c>
    </row>
    <row r="12" customFormat="false" ht="15" hidden="false" customHeight="true" outlineLevel="0" collapsed="false">
      <c r="B12" s="36" t="s">
        <v>86</v>
      </c>
      <c r="C12" s="38" t="n">
        <f aca="false">CHOOSE($C$6,'1. Assumptions'!C18,'1. Assumptions'!D18,'1. Assumptions'!E18)</f>
        <v>0.03</v>
      </c>
    </row>
    <row r="13" customFormat="false" ht="15" hidden="false" customHeight="true" outlineLevel="0" collapsed="false">
      <c r="B13" s="36" t="s">
        <v>87</v>
      </c>
      <c r="C13" s="37" t="n">
        <f aca="false">CHOOSE($C$6,'1. Assumptions'!C22,'1. Assumptions'!D22,'1. Assumptions'!E22)</f>
        <v>8000000</v>
      </c>
    </row>
    <row r="14" customFormat="false" ht="15" hidden="false" customHeight="true" outlineLevel="0" collapsed="false">
      <c r="B14" s="36" t="s">
        <v>88</v>
      </c>
      <c r="C14" s="37" t="n">
        <f aca="false">CHOOSE($C$6,'1. Assumptions'!C28,'1. Assumptions'!D28,'1. Assumptions'!E28)</f>
        <v>220000000</v>
      </c>
    </row>
    <row r="15" customFormat="false" ht="15" hidden="false" customHeight="true" outlineLevel="0" collapsed="false">
      <c r="B15" s="36" t="s">
        <v>89</v>
      </c>
      <c r="C15" s="37" t="n">
        <f aca="false">CHOOSE($C$6,'1. Assumptions'!C31,'1. Assumptions'!D31,'1. Assumptions'!E31)</f>
        <v>700000000</v>
      </c>
    </row>
    <row r="16" customFormat="false" ht="15" hidden="false" customHeight="true" outlineLevel="0" collapsed="false">
      <c r="B16" s="36" t="s">
        <v>90</v>
      </c>
      <c r="C16" s="37" t="n">
        <f aca="false">CHOOSE($C$6,'1. Assumptions'!C32,'1. Assumptions'!D32,'1. Assumptions'!E32)</f>
        <v>5000000000</v>
      </c>
    </row>
    <row r="17" customFormat="false" ht="15" hidden="false" customHeight="true" outlineLevel="0" collapsed="false">
      <c r="B17" s="36" t="s">
        <v>91</v>
      </c>
      <c r="C17" s="38" t="n">
        <f aca="false">CHOOSE($C$6,'1. Assumptions'!C36,'1. Assumptions'!D36,'1. Assumptions'!E36)</f>
        <v>0.00407412378364835</v>
      </c>
    </row>
    <row r="20" customFormat="false" ht="15" hidden="false" customHeight="true" outlineLevel="0" collapsed="false">
      <c r="B20" s="4" t="s">
        <v>92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customFormat="false" ht="15.75" hidden="false" customHeight="true" outlineLevel="0" collapsed="false">
      <c r="B21" s="39" t="s">
        <v>93</v>
      </c>
      <c r="C21" s="40" t="s">
        <v>94</v>
      </c>
      <c r="D21" s="40" t="s">
        <v>95</v>
      </c>
      <c r="E21" s="40" t="s">
        <v>96</v>
      </c>
      <c r="F21" s="40" t="s">
        <v>97</v>
      </c>
      <c r="G21" s="40" t="s">
        <v>98</v>
      </c>
      <c r="H21" s="40" t="s">
        <v>99</v>
      </c>
      <c r="I21" s="40" t="s">
        <v>100</v>
      </c>
      <c r="J21" s="40" t="s">
        <v>101</v>
      </c>
      <c r="K21" s="40" t="s">
        <v>102</v>
      </c>
      <c r="L21" s="40" t="s">
        <v>103</v>
      </c>
      <c r="M21" s="40" t="s">
        <v>104</v>
      </c>
      <c r="N21" s="40" t="s">
        <v>105</v>
      </c>
      <c r="O21" s="40" t="s">
        <v>106</v>
      </c>
      <c r="P21" s="40" t="s">
        <v>107</v>
      </c>
      <c r="Q21" s="40" t="s">
        <v>108</v>
      </c>
      <c r="R21" s="40" t="s">
        <v>109</v>
      </c>
      <c r="S21" s="40" t="s">
        <v>110</v>
      </c>
      <c r="T21" s="40" t="s">
        <v>111</v>
      </c>
      <c r="U21" s="40" t="s">
        <v>112</v>
      </c>
      <c r="V21" s="40" t="s">
        <v>113</v>
      </c>
      <c r="W21" s="40" t="s">
        <v>114</v>
      </c>
      <c r="X21" s="40" t="s">
        <v>115</v>
      </c>
      <c r="Y21" s="40" t="s">
        <v>116</v>
      </c>
      <c r="Z21" s="40" t="s">
        <v>117</v>
      </c>
      <c r="AA21" s="41" t="s">
        <v>118</v>
      </c>
    </row>
    <row r="22" customFormat="false" ht="15.75" hidden="false" customHeight="true" outlineLevel="0" collapsed="false">
      <c r="B22" s="10" t="s">
        <v>119</v>
      </c>
      <c r="C22" s="42" t="n">
        <f aca="false">ROUND($C$10*$C$9,0)</f>
        <v>10</v>
      </c>
      <c r="D22" s="42" t="n">
        <f aca="false">ROUND($C$10*$C$9,0)</f>
        <v>10</v>
      </c>
      <c r="E22" s="42" t="n">
        <f aca="false">ROUND($C$10*$C$9,0)</f>
        <v>10</v>
      </c>
      <c r="F22" s="42" t="n">
        <f aca="false">ROUND($C$10*$C$9,0)</f>
        <v>10</v>
      </c>
      <c r="G22" s="42" t="n">
        <f aca="false">ROUND($C$10*$C$9,0)</f>
        <v>10</v>
      </c>
      <c r="H22" s="42" t="n">
        <f aca="false">ROUND($C$10*$C$9,0)</f>
        <v>10</v>
      </c>
      <c r="I22" s="42" t="n">
        <f aca="false">ROUND($C$10*$C$9,0)</f>
        <v>10</v>
      </c>
      <c r="J22" s="42" t="n">
        <f aca="false">ROUND($C$10*$C$9,0)</f>
        <v>10</v>
      </c>
      <c r="K22" s="42" t="n">
        <f aca="false">ROUND($C$10*$C$9,0)</f>
        <v>10</v>
      </c>
      <c r="L22" s="42" t="n">
        <f aca="false">ROUND($C$10*$C$9,0)</f>
        <v>10</v>
      </c>
      <c r="M22" s="42" t="n">
        <f aca="false">ROUND($C$10*$C$9,0)</f>
        <v>10</v>
      </c>
      <c r="N22" s="42" t="n">
        <f aca="false">ROUND($C$10*$C$9,0)</f>
        <v>10</v>
      </c>
      <c r="O22" s="42" t="n">
        <f aca="false">ROUND($C$10*$C$9,0)</f>
        <v>10</v>
      </c>
      <c r="P22" s="42" t="n">
        <f aca="false">ROUND($C$10*$C$9,0)</f>
        <v>10</v>
      </c>
      <c r="Q22" s="42" t="n">
        <f aca="false">ROUND($C$10*$C$9,0)</f>
        <v>10</v>
      </c>
      <c r="R22" s="42" t="n">
        <f aca="false">ROUND($C$10*$C$9,0)</f>
        <v>10</v>
      </c>
      <c r="S22" s="42" t="n">
        <f aca="false">ROUND($C$10*$C$9,0)</f>
        <v>10</v>
      </c>
      <c r="T22" s="42" t="n">
        <f aca="false">ROUND($C$10*$C$9,0)</f>
        <v>10</v>
      </c>
      <c r="U22" s="42" t="n">
        <f aca="false">ROUND($C$10*$C$9,0)</f>
        <v>10</v>
      </c>
      <c r="V22" s="42" t="n">
        <f aca="false">ROUND($C$10*$C$9,0)</f>
        <v>10</v>
      </c>
      <c r="W22" s="42" t="n">
        <f aca="false">ROUND($C$10*$C$9,0)</f>
        <v>10</v>
      </c>
      <c r="X22" s="42" t="n">
        <f aca="false">ROUND($C$10*$C$9,0)</f>
        <v>10</v>
      </c>
      <c r="Y22" s="42" t="n">
        <f aca="false">ROUND($C$10*$C$9,0)</f>
        <v>10</v>
      </c>
      <c r="Z22" s="42" t="n">
        <f aca="false">ROUND($C$10*$C$9,0)</f>
        <v>10</v>
      </c>
      <c r="AA22" s="43" t="n">
        <f aca="false">SUM(C22:Z22)</f>
        <v>240</v>
      </c>
    </row>
    <row r="23" customFormat="false" ht="15.75" hidden="false" customHeight="true" outlineLevel="0" collapsed="false">
      <c r="B23" s="10" t="s">
        <v>120</v>
      </c>
      <c r="C23" s="42" t="n">
        <f aca="false">C22</f>
        <v>10</v>
      </c>
      <c r="D23" s="42" t="n">
        <f aca="false">C23*(1-$C$12)+D22</f>
        <v>19.7</v>
      </c>
      <c r="E23" s="42" t="n">
        <f aca="false">D23*(1-$C$12)+E22</f>
        <v>29.109</v>
      </c>
      <c r="F23" s="42" t="n">
        <f aca="false">E23*(1-$C$12)+F22</f>
        <v>38.23573</v>
      </c>
      <c r="G23" s="42" t="n">
        <f aca="false">F23*(1-$C$12)+G22</f>
        <v>47.0886581</v>
      </c>
      <c r="H23" s="42" t="n">
        <f aca="false">G23*(1-$C$12)+H22</f>
        <v>55.675998357</v>
      </c>
      <c r="I23" s="42" t="n">
        <f aca="false">H23*(1-$C$12)+I22</f>
        <v>64.00571840629</v>
      </c>
      <c r="J23" s="42" t="n">
        <f aca="false">I23*(1-$C$12)+J22</f>
        <v>72.0855468541013</v>
      </c>
      <c r="K23" s="42" t="n">
        <f aca="false">J23*(1-$C$12)+K22</f>
        <v>79.9229804484783</v>
      </c>
      <c r="L23" s="42" t="n">
        <f aca="false">K23*(1-$C$12)+L22</f>
        <v>87.5252910350239</v>
      </c>
      <c r="M23" s="42" t="n">
        <f aca="false">L23*(1-$C$12)+M22</f>
        <v>94.8995323039732</v>
      </c>
      <c r="N23" s="42" t="n">
        <f aca="false">M23*(1-$C$12)+N22</f>
        <v>102.052546334854</v>
      </c>
      <c r="O23" s="42" t="n">
        <f aca="false">N23*(1-$C$12)+O22</f>
        <v>108.990969944808</v>
      </c>
      <c r="P23" s="42" t="n">
        <f aca="false">O23*(1-$C$12)+P22</f>
        <v>115.721240846464</v>
      </c>
      <c r="Q23" s="42" t="n">
        <f aca="false">P23*(1-$C$12)+Q22</f>
        <v>122.24960362107</v>
      </c>
      <c r="R23" s="42" t="n">
        <f aca="false">Q23*(1-$C$12)+R22</f>
        <v>128.582115512438</v>
      </c>
      <c r="S23" s="42" t="n">
        <f aca="false">R23*(1-$C$12)+S22</f>
        <v>134.724652047065</v>
      </c>
      <c r="T23" s="42" t="n">
        <f aca="false">S23*(1-$C$12)+T22</f>
        <v>140.682912485653</v>
      </c>
      <c r="U23" s="42" t="n">
        <f aca="false">T23*(1-$C$12)+U22</f>
        <v>146.462425111083</v>
      </c>
      <c r="V23" s="42" t="n">
        <f aca="false">U23*(1-$C$12)+V22</f>
        <v>152.068552357751</v>
      </c>
      <c r="W23" s="42" t="n">
        <f aca="false">V23*(1-$C$12)+W22</f>
        <v>157.506495787018</v>
      </c>
      <c r="X23" s="42" t="n">
        <f aca="false">W23*(1-$C$12)+X22</f>
        <v>162.781300913408</v>
      </c>
      <c r="Y23" s="42" t="n">
        <f aca="false">X23*(1-$C$12)+Y22</f>
        <v>167.897861886006</v>
      </c>
      <c r="Z23" s="42" t="n">
        <f aca="false">Y23*(1-$C$12)+Z22</f>
        <v>172.860926029425</v>
      </c>
    </row>
    <row r="24" customFormat="false" ht="15.75" hidden="false" customHeight="true" outlineLevel="0" collapsed="false"/>
    <row r="25" customFormat="false" ht="15.75" hidden="false" customHeight="true" outlineLevel="0" collapsed="false">
      <c r="B25" s="44" t="s">
        <v>121</v>
      </c>
      <c r="C25" s="45" t="n">
        <f aca="false">C23*$C$8</f>
        <v>25000000</v>
      </c>
      <c r="D25" s="45" t="n">
        <f aca="false">D23*$C$8</f>
        <v>49250000</v>
      </c>
      <c r="E25" s="45" t="n">
        <f aca="false">E23*$C$8</f>
        <v>72772500</v>
      </c>
      <c r="F25" s="45" t="n">
        <f aca="false">F23*$C$8</f>
        <v>95589325</v>
      </c>
      <c r="G25" s="45" t="n">
        <f aca="false">G23*$C$8</f>
        <v>117721645.25</v>
      </c>
      <c r="H25" s="45" t="n">
        <f aca="false">H23*$C$8</f>
        <v>139189995.8925</v>
      </c>
      <c r="I25" s="45" t="n">
        <f aca="false">I23*$C$8</f>
        <v>160014296.015725</v>
      </c>
      <c r="J25" s="45" t="n">
        <f aca="false">J23*$C$8</f>
        <v>180213867.135253</v>
      </c>
      <c r="K25" s="45" t="n">
        <f aca="false">K23*$C$8</f>
        <v>199807451.121196</v>
      </c>
      <c r="L25" s="45" t="n">
        <f aca="false">L23*$C$8</f>
        <v>218813227.58756</v>
      </c>
      <c r="M25" s="45" t="n">
        <f aca="false">M23*$C$8</f>
        <v>237248830.759933</v>
      </c>
      <c r="N25" s="45" t="n">
        <f aca="false">N23*$C$8</f>
        <v>255131365.837135</v>
      </c>
      <c r="O25" s="45" t="n">
        <f aca="false">O23*$C$8</f>
        <v>272477424.862021</v>
      </c>
      <c r="P25" s="45" t="n">
        <f aca="false">P23*$C$8</f>
        <v>289303102.11616</v>
      </c>
      <c r="Q25" s="45" t="n">
        <f aca="false">Q23*$C$8</f>
        <v>305624009.052676</v>
      </c>
      <c r="R25" s="45" t="n">
        <f aca="false">R23*$C$8</f>
        <v>321455288.781095</v>
      </c>
      <c r="S25" s="45" t="n">
        <f aca="false">S23*$C$8</f>
        <v>336811630.117662</v>
      </c>
      <c r="T25" s="45" t="n">
        <f aca="false">T23*$C$8</f>
        <v>351707281.214132</v>
      </c>
      <c r="U25" s="45" t="n">
        <f aca="false">U23*$C$8</f>
        <v>366156062.777709</v>
      </c>
      <c r="V25" s="45" t="n">
        <f aca="false">V23*$C$8</f>
        <v>380171380.894377</v>
      </c>
      <c r="W25" s="45" t="n">
        <f aca="false">W23*$C$8</f>
        <v>393766239.467546</v>
      </c>
      <c r="X25" s="45" t="n">
        <f aca="false">X23*$C$8</f>
        <v>406953252.283519</v>
      </c>
      <c r="Y25" s="45" t="n">
        <f aca="false">Y23*$C$8</f>
        <v>419744654.715014</v>
      </c>
      <c r="Z25" s="45" t="n">
        <f aca="false">Z23*$C$8</f>
        <v>432152315.073564</v>
      </c>
      <c r="AA25" s="46" t="n">
        <f aca="false">SUM(C25:Z25)</f>
        <v>6027075145.95478</v>
      </c>
    </row>
    <row r="26" customFormat="false" ht="15.75" hidden="false" customHeight="true" outlineLevel="0" collapsed="false">
      <c r="B26" s="10" t="s">
        <v>122</v>
      </c>
      <c r="C26" s="42" t="n">
        <f aca="false">C23*$C$11</f>
        <v>6000000</v>
      </c>
      <c r="D26" s="42" t="n">
        <f aca="false">D23*$C$11</f>
        <v>11820000</v>
      </c>
      <c r="E26" s="42" t="n">
        <f aca="false">E23*$C$11</f>
        <v>17465400</v>
      </c>
      <c r="F26" s="42" t="n">
        <f aca="false">F23*$C$11</f>
        <v>22941438</v>
      </c>
      <c r="G26" s="42" t="n">
        <f aca="false">G23*$C$11</f>
        <v>28253194.86</v>
      </c>
      <c r="H26" s="42" t="n">
        <f aca="false">H23*$C$11</f>
        <v>33405599.0142</v>
      </c>
      <c r="I26" s="42" t="n">
        <f aca="false">I23*$C$11</f>
        <v>38403431.043774</v>
      </c>
      <c r="J26" s="42" t="n">
        <f aca="false">J23*$C$11</f>
        <v>43251328.1124608</v>
      </c>
      <c r="K26" s="42" t="n">
        <f aca="false">K23*$C$11</f>
        <v>47953788.269087</v>
      </c>
      <c r="L26" s="42" t="n">
        <f aca="false">L23*$C$11</f>
        <v>52515174.6210144</v>
      </c>
      <c r="M26" s="42" t="n">
        <f aca="false">M23*$C$11</f>
        <v>56939719.3823839</v>
      </c>
      <c r="N26" s="42" t="n">
        <f aca="false">N23*$C$11</f>
        <v>61231527.8009124</v>
      </c>
      <c r="O26" s="42" t="n">
        <f aca="false">O23*$C$11</f>
        <v>65394581.966885</v>
      </c>
      <c r="P26" s="42" t="n">
        <f aca="false">P23*$C$11</f>
        <v>69432744.5078785</v>
      </c>
      <c r="Q26" s="42" t="n">
        <f aca="false">Q23*$C$11</f>
        <v>73349762.1726421</v>
      </c>
      <c r="R26" s="42" t="n">
        <f aca="false">R23*$C$11</f>
        <v>77149269.3074628</v>
      </c>
      <c r="S26" s="42" t="n">
        <f aca="false">S23*$C$11</f>
        <v>80834791.228239</v>
      </c>
      <c r="T26" s="42" t="n">
        <f aca="false">T23*$C$11</f>
        <v>84409747.4913918</v>
      </c>
      <c r="U26" s="42" t="n">
        <f aca="false">U23*$C$11</f>
        <v>87877455.06665</v>
      </c>
      <c r="V26" s="42" t="n">
        <f aca="false">V23*$C$11</f>
        <v>91241131.4146505</v>
      </c>
      <c r="W26" s="42" t="n">
        <f aca="false">W23*$C$11</f>
        <v>94503897.472211</v>
      </c>
      <c r="X26" s="42" t="n">
        <f aca="false">X23*$C$11</f>
        <v>97668780.5480447</v>
      </c>
      <c r="Y26" s="42" t="n">
        <f aca="false">Y23*$C$11</f>
        <v>100738717.131603</v>
      </c>
      <c r="Z26" s="42" t="n">
        <f aca="false">Z23*$C$11</f>
        <v>103716555.617655</v>
      </c>
      <c r="AA26" s="43" t="n">
        <f aca="false">SUM(C26:Z26)</f>
        <v>1446498035.02915</v>
      </c>
    </row>
    <row r="27" customFormat="false" ht="15.75" hidden="false" customHeight="true" outlineLevel="0" collapsed="false">
      <c r="B27" s="9" t="s">
        <v>123</v>
      </c>
      <c r="C27" s="47" t="n">
        <f aca="false">C25-C26</f>
        <v>19000000</v>
      </c>
      <c r="D27" s="47" t="n">
        <f aca="false">D25-D26</f>
        <v>37430000</v>
      </c>
      <c r="E27" s="47" t="n">
        <f aca="false">E25-E26</f>
        <v>55307100</v>
      </c>
      <c r="F27" s="47" t="n">
        <f aca="false">F25-F26</f>
        <v>72647887</v>
      </c>
      <c r="G27" s="47" t="n">
        <f aca="false">G25-G26</f>
        <v>89468450.39</v>
      </c>
      <c r="H27" s="47" t="n">
        <f aca="false">H25-H26</f>
        <v>105784396.8783</v>
      </c>
      <c r="I27" s="47" t="n">
        <f aca="false">I25-I26</f>
        <v>121610864.971951</v>
      </c>
      <c r="J27" s="47" t="n">
        <f aca="false">J25-J26</f>
        <v>136962539.022792</v>
      </c>
      <c r="K27" s="47" t="n">
        <f aca="false">K25-K26</f>
        <v>151853662.852109</v>
      </c>
      <c r="L27" s="47" t="n">
        <f aca="false">L25-L26</f>
        <v>166298052.966545</v>
      </c>
      <c r="M27" s="47" t="n">
        <f aca="false">M25-M26</f>
        <v>180309111.377549</v>
      </c>
      <c r="N27" s="47" t="n">
        <f aca="false">N25-N26</f>
        <v>193899838.036223</v>
      </c>
      <c r="O27" s="47" t="n">
        <f aca="false">O25-O26</f>
        <v>207082842.895136</v>
      </c>
      <c r="P27" s="47" t="n">
        <f aca="false">P25-P26</f>
        <v>219870357.608282</v>
      </c>
      <c r="Q27" s="47" t="n">
        <f aca="false">Q25-Q26</f>
        <v>232274246.880033</v>
      </c>
      <c r="R27" s="47" t="n">
        <f aca="false">R25-R26</f>
        <v>244306019.473632</v>
      </c>
      <c r="S27" s="47" t="n">
        <f aca="false">S25-S26</f>
        <v>255976838.889423</v>
      </c>
      <c r="T27" s="47" t="n">
        <f aca="false">T25-T26</f>
        <v>267297533.722741</v>
      </c>
      <c r="U27" s="47" t="n">
        <f aca="false">U25-U26</f>
        <v>278278607.711058</v>
      </c>
      <c r="V27" s="47" t="n">
        <f aca="false">V25-V26</f>
        <v>288930249.479727</v>
      </c>
      <c r="W27" s="47" t="n">
        <f aca="false">W25-W26</f>
        <v>299262341.995335</v>
      </c>
      <c r="X27" s="47" t="n">
        <f aca="false">X25-X26</f>
        <v>309284471.735475</v>
      </c>
      <c r="Y27" s="47" t="n">
        <f aca="false">Y25-Y26</f>
        <v>319005937.583411</v>
      </c>
      <c r="Z27" s="47" t="n">
        <f aca="false">Z25-Z26</f>
        <v>328435759.455908</v>
      </c>
      <c r="AA27" s="43" t="n">
        <f aca="false">SUM(C27:Z27)</f>
        <v>4580577110.92563</v>
      </c>
    </row>
    <row r="28" customFormat="false" ht="15.75" hidden="false" customHeight="true" outlineLevel="0" collapsed="false">
      <c r="B28" s="10" t="s">
        <v>124</v>
      </c>
      <c r="C28" s="42" t="n">
        <f aca="false">C22*$C$13</f>
        <v>80000000</v>
      </c>
      <c r="D28" s="42" t="n">
        <f aca="false">D22*$C$13</f>
        <v>80000000</v>
      </c>
      <c r="E28" s="42" t="n">
        <f aca="false">E22*$C$13</f>
        <v>80000000</v>
      </c>
      <c r="F28" s="42" t="n">
        <f aca="false">F22*$C$13</f>
        <v>80000000</v>
      </c>
      <c r="G28" s="42" t="n">
        <f aca="false">G22*$C$13</f>
        <v>80000000</v>
      </c>
      <c r="H28" s="42" t="n">
        <f aca="false">H22*$C$13</f>
        <v>80000000</v>
      </c>
      <c r="I28" s="42" t="n">
        <f aca="false">I22*$C$13</f>
        <v>80000000</v>
      </c>
      <c r="J28" s="42" t="n">
        <f aca="false">J22*$C$13</f>
        <v>80000000</v>
      </c>
      <c r="K28" s="42" t="n">
        <f aca="false">K22*$C$13</f>
        <v>80000000</v>
      </c>
      <c r="L28" s="42" t="n">
        <f aca="false">L22*$C$13</f>
        <v>80000000</v>
      </c>
      <c r="M28" s="42" t="n">
        <f aca="false">M22*$C$13</f>
        <v>80000000</v>
      </c>
      <c r="N28" s="42" t="n">
        <f aca="false">N22*$C$13</f>
        <v>80000000</v>
      </c>
      <c r="O28" s="42" t="n">
        <f aca="false">O22*$C$13</f>
        <v>80000000</v>
      </c>
      <c r="P28" s="42" t="n">
        <f aca="false">P22*$C$13</f>
        <v>80000000</v>
      </c>
      <c r="Q28" s="42" t="n">
        <f aca="false">Q22*$C$13</f>
        <v>80000000</v>
      </c>
      <c r="R28" s="42" t="n">
        <f aca="false">R22*$C$13</f>
        <v>80000000</v>
      </c>
      <c r="S28" s="42" t="n">
        <f aca="false">S22*$C$13</f>
        <v>80000000</v>
      </c>
      <c r="T28" s="42" t="n">
        <f aca="false">T22*$C$13</f>
        <v>80000000</v>
      </c>
      <c r="U28" s="42" t="n">
        <f aca="false">U22*$C$13</f>
        <v>80000000</v>
      </c>
      <c r="V28" s="42" t="n">
        <f aca="false">V22*$C$13</f>
        <v>80000000</v>
      </c>
      <c r="W28" s="42" t="n">
        <f aca="false">W22*$C$13</f>
        <v>80000000</v>
      </c>
      <c r="X28" s="42" t="n">
        <f aca="false">X22*$C$13</f>
        <v>80000000</v>
      </c>
      <c r="Y28" s="42" t="n">
        <f aca="false">Y22*$C$13</f>
        <v>80000000</v>
      </c>
      <c r="Z28" s="42" t="n">
        <f aca="false">Z22*$C$13</f>
        <v>80000000</v>
      </c>
      <c r="AA28" s="43" t="n">
        <f aca="false">SUM(C28:Z28)</f>
        <v>1920000000</v>
      </c>
    </row>
    <row r="29" customFormat="false" ht="15.75" hidden="false" customHeight="true" outlineLevel="0" collapsed="false">
      <c r="B29" s="10" t="s">
        <v>125</v>
      </c>
      <c r="C29" s="42" t="n">
        <f aca="false">$C$14</f>
        <v>220000000</v>
      </c>
      <c r="D29" s="42" t="n">
        <f aca="false">$C$14</f>
        <v>220000000</v>
      </c>
      <c r="E29" s="42" t="n">
        <f aca="false">$C$14</f>
        <v>220000000</v>
      </c>
      <c r="F29" s="42" t="n">
        <f aca="false">$C$14</f>
        <v>220000000</v>
      </c>
      <c r="G29" s="42" t="n">
        <f aca="false">$C$14</f>
        <v>220000000</v>
      </c>
      <c r="H29" s="42" t="n">
        <f aca="false">$C$14</f>
        <v>220000000</v>
      </c>
      <c r="I29" s="42" t="n">
        <f aca="false">$C$14</f>
        <v>220000000</v>
      </c>
      <c r="J29" s="42" t="n">
        <f aca="false">$C$14</f>
        <v>220000000</v>
      </c>
      <c r="K29" s="42" t="n">
        <f aca="false">$C$14</f>
        <v>220000000</v>
      </c>
      <c r="L29" s="42" t="n">
        <f aca="false">$C$14</f>
        <v>220000000</v>
      </c>
      <c r="M29" s="42" t="n">
        <f aca="false">$C$14</f>
        <v>220000000</v>
      </c>
      <c r="N29" s="42" t="n">
        <f aca="false">$C$14</f>
        <v>220000000</v>
      </c>
      <c r="O29" s="42" t="n">
        <f aca="false">$C$14</f>
        <v>220000000</v>
      </c>
      <c r="P29" s="42" t="n">
        <f aca="false">$C$14</f>
        <v>220000000</v>
      </c>
      <c r="Q29" s="42" t="n">
        <f aca="false">$C$14</f>
        <v>220000000</v>
      </c>
      <c r="R29" s="42" t="n">
        <f aca="false">$C$14</f>
        <v>220000000</v>
      </c>
      <c r="S29" s="42" t="n">
        <f aca="false">$C$14</f>
        <v>220000000</v>
      </c>
      <c r="T29" s="42" t="n">
        <f aca="false">$C$14</f>
        <v>220000000</v>
      </c>
      <c r="U29" s="42" t="n">
        <f aca="false">$C$14</f>
        <v>220000000</v>
      </c>
      <c r="V29" s="42" t="n">
        <f aca="false">$C$14</f>
        <v>220000000</v>
      </c>
      <c r="W29" s="42" t="n">
        <f aca="false">$C$14</f>
        <v>220000000</v>
      </c>
      <c r="X29" s="42" t="n">
        <f aca="false">$C$14</f>
        <v>220000000</v>
      </c>
      <c r="Y29" s="42" t="n">
        <f aca="false">$C$14</f>
        <v>220000000</v>
      </c>
      <c r="Z29" s="42" t="n">
        <f aca="false">$C$14</f>
        <v>220000000</v>
      </c>
      <c r="AA29" s="43" t="n">
        <f aca="false">SUM(C29:Z29)</f>
        <v>5280000000</v>
      </c>
    </row>
    <row r="30" customFormat="false" ht="15.75" hidden="false" customHeight="true" outlineLevel="0" collapsed="false">
      <c r="B30" s="21" t="s">
        <v>126</v>
      </c>
      <c r="C30" s="48" t="n">
        <f aca="false">C27-C28-C29</f>
        <v>-281000000</v>
      </c>
      <c r="D30" s="48" t="n">
        <f aca="false">D27-D28-D29</f>
        <v>-262570000</v>
      </c>
      <c r="E30" s="48" t="n">
        <f aca="false">E27-E28-E29</f>
        <v>-244692900</v>
      </c>
      <c r="F30" s="48" t="n">
        <f aca="false">F27-F28-F29</f>
        <v>-227352113</v>
      </c>
      <c r="G30" s="48" t="n">
        <f aca="false">G27-G28-G29</f>
        <v>-210531549.61</v>
      </c>
      <c r="H30" s="48" t="n">
        <f aca="false">H27-H28-H29</f>
        <v>-194215603.1217</v>
      </c>
      <c r="I30" s="48" t="n">
        <f aca="false">I27-I28-I29</f>
        <v>-178389135.028049</v>
      </c>
      <c r="J30" s="48" t="n">
        <f aca="false">J27-J28-J29</f>
        <v>-163037460.977208</v>
      </c>
      <c r="K30" s="48" t="n">
        <f aca="false">K27-K28-K29</f>
        <v>-148146337.147891</v>
      </c>
      <c r="L30" s="48" t="n">
        <f aca="false">L27-L28-L29</f>
        <v>-133701947.033455</v>
      </c>
      <c r="M30" s="48" t="n">
        <f aca="false">M27-M28-M29</f>
        <v>-119690888.622451</v>
      </c>
      <c r="N30" s="48" t="n">
        <f aca="false">N27-N28-N29</f>
        <v>-106100161.963777</v>
      </c>
      <c r="O30" s="48" t="n">
        <f aca="false">O27-O28-O29</f>
        <v>-92917157.1048641</v>
      </c>
      <c r="P30" s="48" t="n">
        <f aca="false">P27-P28-P29</f>
        <v>-80129642.3917182</v>
      </c>
      <c r="Q30" s="48" t="n">
        <f aca="false">Q27-Q28-Q29</f>
        <v>-67725753.1199666</v>
      </c>
      <c r="R30" s="48" t="n">
        <f aca="false">R27-R28-R29</f>
        <v>-55693980.5263677</v>
      </c>
      <c r="S30" s="48" t="n">
        <f aca="false">S27-S28-S29</f>
        <v>-44023161.1105766</v>
      </c>
      <c r="T30" s="48" t="n">
        <f aca="false">T27-T28-T29</f>
        <v>-32702466.2772594</v>
      </c>
      <c r="U30" s="48" t="n">
        <f aca="false">U27-U28-U29</f>
        <v>-21721392.2889416</v>
      </c>
      <c r="V30" s="48" t="n">
        <f aca="false">V27-V28-V29</f>
        <v>-11069750.5202733</v>
      </c>
      <c r="W30" s="48" t="n">
        <f aca="false">W27-W28-W29</f>
        <v>-737658.004665136</v>
      </c>
      <c r="X30" s="48" t="n">
        <f aca="false">X27-X28-X29</f>
        <v>9284471.73547477</v>
      </c>
      <c r="Y30" s="48" t="n">
        <f aca="false">Y27-Y28-Y29</f>
        <v>19005937.5834106</v>
      </c>
      <c r="Z30" s="48" t="n">
        <f aca="false">Z27-Z28-Z29</f>
        <v>28435759.4559083</v>
      </c>
      <c r="AA30" s="49" t="n">
        <f aca="false">SUM(C30:Z30)</f>
        <v>-2619422889.07437</v>
      </c>
    </row>
    <row r="31" customFormat="false" ht="15.75" hidden="false" customHeight="true" outlineLevel="0" collapsed="false"/>
    <row r="32" customFormat="false" ht="15.75" hidden="false" customHeight="true" outlineLevel="0" collapsed="false">
      <c r="B32" s="10" t="s">
        <v>127</v>
      </c>
      <c r="C32" s="42" t="n">
        <f aca="false">C30-$C$15</f>
        <v>-981000000</v>
      </c>
      <c r="D32" s="42" t="n">
        <f aca="false">D30</f>
        <v>-262570000</v>
      </c>
      <c r="E32" s="42" t="n">
        <f aca="false">E30</f>
        <v>-244692900</v>
      </c>
      <c r="F32" s="42" t="n">
        <f aca="false">F30</f>
        <v>-227352113</v>
      </c>
      <c r="G32" s="42" t="n">
        <f aca="false">G30</f>
        <v>-210531549.61</v>
      </c>
      <c r="H32" s="42" t="n">
        <f aca="false">H30</f>
        <v>-194215603.1217</v>
      </c>
      <c r="I32" s="42" t="n">
        <f aca="false">I30</f>
        <v>-178389135.028049</v>
      </c>
      <c r="J32" s="42" t="n">
        <f aca="false">J30</f>
        <v>-163037460.977208</v>
      </c>
      <c r="K32" s="42" t="n">
        <f aca="false">K30</f>
        <v>-148146337.147891</v>
      </c>
      <c r="L32" s="42" t="n">
        <f aca="false">L30</f>
        <v>-133701947.033455</v>
      </c>
      <c r="M32" s="42" t="n">
        <f aca="false">M30</f>
        <v>-119690888.622451</v>
      </c>
      <c r="N32" s="42" t="n">
        <f aca="false">N30</f>
        <v>-106100161.963777</v>
      </c>
      <c r="O32" s="42" t="n">
        <f aca="false">O30</f>
        <v>-92917157.1048641</v>
      </c>
      <c r="P32" s="42" t="n">
        <f aca="false">P30</f>
        <v>-80129642.3917182</v>
      </c>
      <c r="Q32" s="42" t="n">
        <f aca="false">Q30</f>
        <v>-67725753.1199666</v>
      </c>
      <c r="R32" s="42" t="n">
        <f aca="false">R30</f>
        <v>-55693980.5263677</v>
      </c>
      <c r="S32" s="42" t="n">
        <f aca="false">S30</f>
        <v>-44023161.1105766</v>
      </c>
      <c r="T32" s="42" t="n">
        <f aca="false">T30</f>
        <v>-32702466.2772594</v>
      </c>
      <c r="U32" s="42" t="n">
        <f aca="false">U30</f>
        <v>-21721392.2889416</v>
      </c>
      <c r="V32" s="42" t="n">
        <f aca="false">V30</f>
        <v>-11069750.5202733</v>
      </c>
      <c r="W32" s="42" t="n">
        <f aca="false">W30</f>
        <v>-737658.004665136</v>
      </c>
      <c r="X32" s="42" t="n">
        <f aca="false">X30</f>
        <v>9284471.73547477</v>
      </c>
      <c r="Y32" s="42" t="n">
        <f aca="false">Y30</f>
        <v>19005937.5834106</v>
      </c>
      <c r="Z32" s="42" t="n">
        <f aca="false">Z30</f>
        <v>28435759.4559083</v>
      </c>
      <c r="AA32" s="43" t="n">
        <f aca="false">SUM(C32:Z32)</f>
        <v>-3319422889.07437</v>
      </c>
    </row>
    <row r="33" customFormat="false" ht="15.75" hidden="false" customHeight="true" outlineLevel="0" collapsed="false">
      <c r="B33" s="50" t="s">
        <v>128</v>
      </c>
      <c r="C33" s="51" t="n">
        <f aca="false">$C$16+C32</f>
        <v>4019000000</v>
      </c>
      <c r="D33" s="51" t="n">
        <f aca="false">C33+D32</f>
        <v>3756430000</v>
      </c>
      <c r="E33" s="51" t="n">
        <f aca="false">D33+E32</f>
        <v>3511737100</v>
      </c>
      <c r="F33" s="51" t="n">
        <f aca="false">E33+F32</f>
        <v>3284384987</v>
      </c>
      <c r="G33" s="51" t="n">
        <f aca="false">F33+G32</f>
        <v>3073853437.39</v>
      </c>
      <c r="H33" s="51" t="n">
        <f aca="false">G33+H32</f>
        <v>2879637834.2683</v>
      </c>
      <c r="I33" s="51" t="n">
        <f aca="false">H33+I32</f>
        <v>2701248699.24025</v>
      </c>
      <c r="J33" s="51" t="n">
        <f aca="false">I33+J32</f>
        <v>2538211238.26304</v>
      </c>
      <c r="K33" s="51" t="n">
        <f aca="false">J33+K32</f>
        <v>2390064901.11515</v>
      </c>
      <c r="L33" s="51" t="n">
        <f aca="false">K33+L32</f>
        <v>2256362954.0817</v>
      </c>
      <c r="M33" s="51" t="n">
        <f aca="false">L33+M32</f>
        <v>2136672065.45925</v>
      </c>
      <c r="N33" s="51" t="n">
        <f aca="false">M33+N32</f>
        <v>2030571903.49547</v>
      </c>
      <c r="O33" s="51" t="n">
        <f aca="false">N33+O32</f>
        <v>1937654746.39061</v>
      </c>
      <c r="P33" s="51" t="n">
        <f aca="false">O33+P32</f>
        <v>1857525103.99889</v>
      </c>
      <c r="Q33" s="51" t="n">
        <f aca="false">P33+Q32</f>
        <v>1789799350.87892</v>
      </c>
      <c r="R33" s="51" t="n">
        <f aca="false">Q33+R32</f>
        <v>1734105370.35255</v>
      </c>
      <c r="S33" s="51" t="n">
        <f aca="false">R33+S32</f>
        <v>1690082209.24198</v>
      </c>
      <c r="T33" s="51" t="n">
        <f aca="false">S33+T32</f>
        <v>1657379742.96472</v>
      </c>
      <c r="U33" s="51" t="n">
        <f aca="false">T33+U32</f>
        <v>1635658350.67577</v>
      </c>
      <c r="V33" s="51" t="n">
        <f aca="false">U33+V32</f>
        <v>1624588600.1555</v>
      </c>
      <c r="W33" s="51" t="n">
        <f aca="false">V33+W32</f>
        <v>1623850942.15084</v>
      </c>
      <c r="X33" s="51" t="n">
        <f aca="false">W33+X32</f>
        <v>1633135413.88631</v>
      </c>
      <c r="Y33" s="51" t="n">
        <f aca="false">X33+Y32</f>
        <v>1652141351.46972</v>
      </c>
      <c r="Z33" s="51" t="n">
        <f aca="false">Y33+Z32</f>
        <v>1680577110.92563</v>
      </c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>
      <c r="B36" s="4" t="s">
        <v>129</v>
      </c>
      <c r="C36" s="4"/>
      <c r="D36" s="4"/>
      <c r="E36" s="4"/>
      <c r="F36" s="4"/>
      <c r="G36" s="4"/>
      <c r="H36" s="4"/>
      <c r="I36" s="4"/>
      <c r="J36" s="4"/>
    </row>
    <row r="37" customFormat="false" ht="15.75" hidden="false" customHeight="true" outlineLevel="0" collapsed="false">
      <c r="B37" s="9" t="s">
        <v>130</v>
      </c>
      <c r="C37" s="52" t="n">
        <f aca="false" t="array" ref="C37:C37">(NPV($C$17,D32:Z32)+C32)/1000000</f>
        <v>-3260.4480188573</v>
      </c>
      <c r="D37" s="34" t="str">
        <f aca="false">"(target: &gt; 0)"</f>
        <v>(target: &gt; 0)</v>
      </c>
    </row>
    <row r="38" customFormat="false" ht="15.75" hidden="false" customHeight="true" outlineLevel="0" collapsed="false">
      <c r="B38" s="9" t="s">
        <v>131</v>
      </c>
      <c r="C38" s="53" t="n">
        <f aca="false">IFERROR((1+IRR(C32:Z32))^12-1,0)</f>
        <v>0</v>
      </c>
      <c r="D38" s="34" t="str">
        <f aca="false">"(target: &gt; "&amp;TEXT(CHOOSE($C$6,'1. Assumptions'!C35,'1. Assumptions'!D35,'1. Assumptions'!E35),"0.0%")&amp;")"</f>
        <v>(target: &gt; 5.0%)</v>
      </c>
    </row>
    <row r="39" customFormat="false" ht="15.75" hidden="false" customHeight="true" outlineLevel="0" collapsed="false">
      <c r="B39" s="9" t="s">
        <v>132</v>
      </c>
      <c r="C39" s="54" t="str">
        <f aca="false" t="array" ref="C39:C39">IFERROR(MATCH(TRUE(),INDEX(C41:Z41&gt;=0,0),0),"&gt; 24")</f>
        <v>&gt; 24</v>
      </c>
      <c r="D39" s="34" t="str">
        <f aca="false">"(target: &lt; 24)"</f>
        <v>(target: &lt; 24)</v>
      </c>
    </row>
    <row r="40" customFormat="false" ht="15.75" hidden="false" customHeight="true" outlineLevel="0" collapsed="false">
      <c r="B40" s="9" t="s">
        <v>133</v>
      </c>
      <c r="C40" s="54" t="str">
        <f aca="false" t="array" ref="C40:C40">IFERROR(MATCH(TRUE(),INDEX(C33:Z33&lt;0,0),0)-1,"&gt;= 24")</f>
        <v>&gt;= 24</v>
      </c>
      <c r="D40" s="34" t="str">
        <f aca="false">"(target: &gt;= 12)"</f>
        <v>(target: &gt;= 12)</v>
      </c>
    </row>
    <row r="41" customFormat="false" ht="15.75" hidden="false" customHeight="true" outlineLevel="0" collapsed="false">
      <c r="B41" s="55" t="s">
        <v>134</v>
      </c>
      <c r="C41" s="56" t="n">
        <f aca="false">C32</f>
        <v>-981000000</v>
      </c>
      <c r="D41" s="56" t="n">
        <f aca="false">C41+D32</f>
        <v>-1243570000</v>
      </c>
      <c r="E41" s="56" t="n">
        <f aca="false">D41+E32</f>
        <v>-1488262900</v>
      </c>
      <c r="F41" s="56" t="n">
        <f aca="false">E41+F32</f>
        <v>-1715615013</v>
      </c>
      <c r="G41" s="56" t="n">
        <f aca="false">F41+G32</f>
        <v>-1926146562.61</v>
      </c>
      <c r="H41" s="56" t="n">
        <f aca="false">G41+H32</f>
        <v>-2120362165.7317</v>
      </c>
      <c r="I41" s="56" t="n">
        <f aca="false">H41+I32</f>
        <v>-2298751300.75975</v>
      </c>
      <c r="J41" s="56" t="n">
        <f aca="false">I41+J32</f>
        <v>-2461788761.73696</v>
      </c>
      <c r="K41" s="56" t="n">
        <f aca="false">J41+K32</f>
        <v>-2609935098.88485</v>
      </c>
      <c r="L41" s="56" t="n">
        <f aca="false">K41+L32</f>
        <v>-2743637045.9183</v>
      </c>
      <c r="M41" s="56" t="n">
        <f aca="false">L41+M32</f>
        <v>-2863327934.54075</v>
      </c>
      <c r="N41" s="56" t="n">
        <f aca="false">M41+N32</f>
        <v>-2969428096.50453</v>
      </c>
      <c r="O41" s="56" t="n">
        <f aca="false">N41+O32</f>
        <v>-3062345253.6094</v>
      </c>
      <c r="P41" s="56" t="n">
        <f aca="false">O41+P32</f>
        <v>-3142474896.00111</v>
      </c>
      <c r="Q41" s="56" t="n">
        <f aca="false">P41+Q32</f>
        <v>-3210200649.12108</v>
      </c>
      <c r="R41" s="56" t="n">
        <f aca="false">Q41+R32</f>
        <v>-3265894629.64745</v>
      </c>
      <c r="S41" s="56" t="n">
        <f aca="false">R41+S32</f>
        <v>-3309917790.75802</v>
      </c>
      <c r="T41" s="56" t="n">
        <f aca="false">S41+T32</f>
        <v>-3342620257.03528</v>
      </c>
      <c r="U41" s="56" t="n">
        <f aca="false">T41+U32</f>
        <v>-3364341649.32423</v>
      </c>
      <c r="V41" s="56" t="n">
        <f aca="false">U41+V32</f>
        <v>-3375411399.8445</v>
      </c>
      <c r="W41" s="56" t="n">
        <f aca="false">V41+W32</f>
        <v>-3376149057.84916</v>
      </c>
      <c r="X41" s="56" t="n">
        <f aca="false">W41+X32</f>
        <v>-3366864586.11369</v>
      </c>
      <c r="Y41" s="56" t="n">
        <f aca="false">X41+Y32</f>
        <v>-3347858648.53028</v>
      </c>
      <c r="Z41" s="56" t="n">
        <f aca="false">Y41+Z32</f>
        <v>-3319422889.07437</v>
      </c>
    </row>
    <row r="42" customFormat="false" ht="15.75" hidden="false" customHeight="true" outlineLevel="0" collapsed="false"/>
    <row r="43" customFormat="false" ht="15.75" hidden="false" customHeight="true" outlineLevel="0" collapsed="false">
      <c r="B43" s="4" t="s">
        <v>135</v>
      </c>
      <c r="C43" s="4"/>
      <c r="D43" s="4"/>
      <c r="E43" s="4"/>
      <c r="F43" s="4"/>
      <c r="G43" s="4"/>
      <c r="H43" s="4"/>
      <c r="I43" s="4"/>
      <c r="J43" s="4"/>
    </row>
    <row r="44" customFormat="false" ht="15.75" hidden="false" customHeight="true" outlineLevel="0" collapsed="false">
      <c r="B44" s="9" t="s">
        <v>136</v>
      </c>
      <c r="C44" s="57" t="str">
        <f aca="false">IF(AND(C37&gt;0,C38&gt;CHOOSE($C$6,'1. Assumptions'!C35,'1. Assumptions'!D35,'1. Assumptions'!E35)),"✓ GO — NPV+ và IRR &gt; WACC",IF(C37&lt;0,"✗ NO-GO — NPV âm: dự án không tạo giá trị","⚠ HOLD — IRR thấp hơn kỳ vọng, cần điều chỉnh"))</f>
        <v>✗ NO-GO — NPV âm: dự án không tạo giá trị</v>
      </c>
      <c r="D44" s="57"/>
      <c r="E44" s="57"/>
      <c r="F44" s="57"/>
      <c r="G44" s="57"/>
      <c r="H44" s="57"/>
      <c r="I44" s="57"/>
      <c r="J44" s="57"/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6">
    <mergeCell ref="B2:H2"/>
    <mergeCell ref="D4:H4"/>
    <mergeCell ref="B20:AA20"/>
    <mergeCell ref="B36:J36"/>
    <mergeCell ref="B43:J43"/>
    <mergeCell ref="C44:J44"/>
  </mergeCells>
  <conditionalFormatting sqref="C33">
    <cfRule type="cellIs" priority="2" operator="lessThan" aboveAverage="0" equalAverage="0" bottom="0" percent="0" rank="0" text="" dxfId="3">
      <formula>0</formula>
    </cfRule>
  </conditionalFormatting>
  <conditionalFormatting sqref="D33">
    <cfRule type="cellIs" priority="3" operator="lessThan" aboveAverage="0" equalAverage="0" bottom="0" percent="0" rank="0" text="" dxfId="3">
      <formula>0</formula>
    </cfRule>
  </conditionalFormatting>
  <conditionalFormatting sqref="E33">
    <cfRule type="cellIs" priority="4" operator="lessThan" aboveAverage="0" equalAverage="0" bottom="0" percent="0" rank="0" text="" dxfId="3">
      <formula>0</formula>
    </cfRule>
  </conditionalFormatting>
  <conditionalFormatting sqref="F33">
    <cfRule type="cellIs" priority="5" operator="lessThan" aboveAverage="0" equalAverage="0" bottom="0" percent="0" rank="0" text="" dxfId="3">
      <formula>0</formula>
    </cfRule>
  </conditionalFormatting>
  <conditionalFormatting sqref="G33">
    <cfRule type="cellIs" priority="6" operator="lessThan" aboveAverage="0" equalAverage="0" bottom="0" percent="0" rank="0" text="" dxfId="3">
      <formula>0</formula>
    </cfRule>
  </conditionalFormatting>
  <conditionalFormatting sqref="H33">
    <cfRule type="cellIs" priority="7" operator="lessThan" aboveAverage="0" equalAverage="0" bottom="0" percent="0" rank="0" text="" dxfId="3">
      <formula>0</formula>
    </cfRule>
  </conditionalFormatting>
  <conditionalFormatting sqref="I33">
    <cfRule type="cellIs" priority="8" operator="lessThan" aboveAverage="0" equalAverage="0" bottom="0" percent="0" rank="0" text="" dxfId="3">
      <formula>0</formula>
    </cfRule>
  </conditionalFormatting>
  <conditionalFormatting sqref="J33">
    <cfRule type="cellIs" priority="9" operator="lessThan" aboveAverage="0" equalAverage="0" bottom="0" percent="0" rank="0" text="" dxfId="3">
      <formula>0</formula>
    </cfRule>
  </conditionalFormatting>
  <conditionalFormatting sqref="K33">
    <cfRule type="cellIs" priority="10" operator="lessThan" aboveAverage="0" equalAverage="0" bottom="0" percent="0" rank="0" text="" dxfId="3">
      <formula>0</formula>
    </cfRule>
  </conditionalFormatting>
  <conditionalFormatting sqref="L33">
    <cfRule type="cellIs" priority="11" operator="lessThan" aboveAverage="0" equalAverage="0" bottom="0" percent="0" rank="0" text="" dxfId="3">
      <formula>0</formula>
    </cfRule>
  </conditionalFormatting>
  <conditionalFormatting sqref="M33">
    <cfRule type="cellIs" priority="12" operator="lessThan" aboveAverage="0" equalAverage="0" bottom="0" percent="0" rank="0" text="" dxfId="3">
      <formula>0</formula>
    </cfRule>
  </conditionalFormatting>
  <conditionalFormatting sqref="N33">
    <cfRule type="cellIs" priority="13" operator="lessThan" aboveAverage="0" equalAverage="0" bottom="0" percent="0" rank="0" text="" dxfId="3">
      <formula>0</formula>
    </cfRule>
  </conditionalFormatting>
  <conditionalFormatting sqref="O33">
    <cfRule type="cellIs" priority="14" operator="lessThan" aboveAverage="0" equalAverage="0" bottom="0" percent="0" rank="0" text="" dxfId="3">
      <formula>0</formula>
    </cfRule>
  </conditionalFormatting>
  <conditionalFormatting sqref="P33">
    <cfRule type="cellIs" priority="15" operator="lessThan" aboveAverage="0" equalAverage="0" bottom="0" percent="0" rank="0" text="" dxfId="3">
      <formula>0</formula>
    </cfRule>
  </conditionalFormatting>
  <conditionalFormatting sqref="Q33">
    <cfRule type="cellIs" priority="16" operator="lessThan" aboveAverage="0" equalAverage="0" bottom="0" percent="0" rank="0" text="" dxfId="3">
      <formula>0</formula>
    </cfRule>
  </conditionalFormatting>
  <conditionalFormatting sqref="R33">
    <cfRule type="cellIs" priority="17" operator="lessThan" aboveAverage="0" equalAverage="0" bottom="0" percent="0" rank="0" text="" dxfId="3">
      <formula>0</formula>
    </cfRule>
  </conditionalFormatting>
  <conditionalFormatting sqref="S33">
    <cfRule type="cellIs" priority="18" operator="lessThan" aboveAverage="0" equalAverage="0" bottom="0" percent="0" rank="0" text="" dxfId="3">
      <formula>0</formula>
    </cfRule>
  </conditionalFormatting>
  <conditionalFormatting sqref="T33">
    <cfRule type="cellIs" priority="19" operator="lessThan" aboveAverage="0" equalAverage="0" bottom="0" percent="0" rank="0" text="" dxfId="3">
      <formula>0</formula>
    </cfRule>
  </conditionalFormatting>
  <conditionalFormatting sqref="U33">
    <cfRule type="cellIs" priority="20" operator="lessThan" aboveAverage="0" equalAverage="0" bottom="0" percent="0" rank="0" text="" dxfId="3">
      <formula>0</formula>
    </cfRule>
  </conditionalFormatting>
  <conditionalFormatting sqref="V33">
    <cfRule type="cellIs" priority="21" operator="lessThan" aboveAverage="0" equalAverage="0" bottom="0" percent="0" rank="0" text="" dxfId="3">
      <formula>0</formula>
    </cfRule>
  </conditionalFormatting>
  <conditionalFormatting sqref="W33">
    <cfRule type="cellIs" priority="22" operator="lessThan" aboveAverage="0" equalAverage="0" bottom="0" percent="0" rank="0" text="" dxfId="3">
      <formula>0</formula>
    </cfRule>
  </conditionalFormatting>
  <conditionalFormatting sqref="X33">
    <cfRule type="cellIs" priority="23" operator="lessThan" aboveAverage="0" equalAverage="0" bottom="0" percent="0" rank="0" text="" dxfId="3">
      <formula>0</formula>
    </cfRule>
  </conditionalFormatting>
  <conditionalFormatting sqref="Y33">
    <cfRule type="cellIs" priority="24" operator="lessThan" aboveAverage="0" equalAverage="0" bottom="0" percent="0" rank="0" text="" dxfId="3">
      <formula>0</formula>
    </cfRule>
  </conditionalFormatting>
  <conditionalFormatting sqref="Z33">
    <cfRule type="cellIs" priority="25" operator="lessThan" aboveAverage="0" equalAverage="0" bottom="0" percent="0" rank="0" text="" dxfId="3">
      <formula>0</formula>
    </cfRule>
  </conditionalFormatting>
  <conditionalFormatting sqref="C37">
    <cfRule type="cellIs" priority="26" operator="greaterThan" aboveAverage="0" equalAverage="0" bottom="0" percent="0" rank="0" text="" dxfId="4">
      <formula>0</formula>
    </cfRule>
    <cfRule type="cellIs" priority="27" operator="lessThanOrEqual" aboveAverage="0" equalAverage="0" bottom="0" percent="0" rank="0" text="" dxfId="5">
      <formula>0</formula>
    </cfRule>
  </conditionalFormatting>
  <conditionalFormatting sqref="C40">
    <cfRule type="expression" priority="28" aboveAverage="0" equalAverage="0" bottom="0" percent="0" rank="0" text="" dxfId="5">
      <formula>AND(ISNUMBER(C40),C40&lt;12)</formula>
    </cfRule>
  </conditionalFormatting>
  <dataValidations count="1">
    <dataValidation allowBlank="true" errorStyle="stop" operator="between" showDropDown="false" showErrorMessage="false" showInputMessage="false" sqref="C4" type="list">
      <formula1>"Optimistic,Base,Pessimistic"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2"/>
    <col collapsed="false" customWidth="true" hidden="false" outlineLevel="0" max="4" min="4" style="0" width="28"/>
    <col collapsed="false" customWidth="true" hidden="false" outlineLevel="0" max="5" min="5" style="0" width="5"/>
  </cols>
  <sheetData>
    <row r="1" customFormat="false" ht="31.5" hidden="false" customHeight="true" outlineLevel="0" collapsed="false">
      <c r="A1" s="58" t="s">
        <v>137</v>
      </c>
      <c r="B1" s="58"/>
      <c r="C1" s="58"/>
      <c r="D1" s="58"/>
    </row>
    <row r="3" customFormat="false" ht="19.5" hidden="false" customHeight="true" outlineLevel="0" collapsed="false">
      <c r="A3" s="59" t="s">
        <v>138</v>
      </c>
      <c r="B3" s="59"/>
      <c r="C3" s="59"/>
      <c r="D3" s="59"/>
    </row>
    <row r="4" customFormat="false" ht="19.5" hidden="false" customHeight="true" outlineLevel="0" collapsed="false">
      <c r="A4" s="60" t="s">
        <v>139</v>
      </c>
      <c r="B4" s="60" t="s">
        <v>140</v>
      </c>
      <c r="C4" s="60" t="s">
        <v>141</v>
      </c>
      <c r="D4" s="60" t="s">
        <v>142</v>
      </c>
    </row>
    <row r="5" customFormat="false" ht="36" hidden="false" customHeight="true" outlineLevel="0" collapsed="false">
      <c r="A5" s="61" t="s">
        <v>143</v>
      </c>
      <c r="B5" s="62" t="s">
        <v>144</v>
      </c>
      <c r="C5" s="63" t="s">
        <v>145</v>
      </c>
      <c r="D5" s="64" t="s">
        <v>146</v>
      </c>
    </row>
    <row r="6" customFormat="false" ht="36" hidden="false" customHeight="true" outlineLevel="0" collapsed="false">
      <c r="A6" s="61" t="s">
        <v>147</v>
      </c>
      <c r="B6" s="62" t="s">
        <v>148</v>
      </c>
      <c r="C6" s="63" t="s">
        <v>149</v>
      </c>
      <c r="D6" s="64" t="s">
        <v>150</v>
      </c>
    </row>
    <row r="7" customFormat="false" ht="36" hidden="false" customHeight="true" outlineLevel="0" collapsed="false">
      <c r="A7" s="61" t="s">
        <v>151</v>
      </c>
      <c r="B7" s="62" t="s">
        <v>152</v>
      </c>
      <c r="C7" s="63" t="s">
        <v>153</v>
      </c>
      <c r="D7" s="64" t="s">
        <v>154</v>
      </c>
    </row>
    <row r="8" customFormat="false" ht="36" hidden="false" customHeight="true" outlineLevel="0" collapsed="false">
      <c r="A8" s="61" t="s">
        <v>155</v>
      </c>
      <c r="B8" s="62" t="s">
        <v>156</v>
      </c>
      <c r="C8" s="63" t="s">
        <v>157</v>
      </c>
      <c r="D8" s="64" t="s">
        <v>158</v>
      </c>
    </row>
    <row r="9" customFormat="false" ht="36" hidden="false" customHeight="true" outlineLevel="0" collapsed="false">
      <c r="A9" s="61" t="s">
        <v>159</v>
      </c>
      <c r="B9" s="62" t="s">
        <v>160</v>
      </c>
      <c r="C9" s="63" t="s">
        <v>161</v>
      </c>
      <c r="D9" s="64" t="s">
        <v>162</v>
      </c>
    </row>
    <row r="12" customFormat="false" ht="19.5" hidden="false" customHeight="true" outlineLevel="0" collapsed="false">
      <c r="A12" s="59" t="s">
        <v>163</v>
      </c>
      <c r="B12" s="59"/>
      <c r="C12" s="59"/>
      <c r="D12" s="59"/>
    </row>
    <row r="13" customFormat="false" ht="19.5" hidden="false" customHeight="true" outlineLevel="0" collapsed="false">
      <c r="A13" s="60" t="s">
        <v>164</v>
      </c>
      <c r="B13" s="60" t="s">
        <v>165</v>
      </c>
      <c r="C13" s="60" t="s">
        <v>166</v>
      </c>
      <c r="D13" s="60" t="s">
        <v>167</v>
      </c>
    </row>
    <row r="14" customFormat="false" ht="36" hidden="false" customHeight="true" outlineLevel="0" collapsed="false">
      <c r="A14" s="62" t="s">
        <v>168</v>
      </c>
      <c r="B14" s="61" t="s">
        <v>169</v>
      </c>
      <c r="C14" s="65" t="s">
        <v>170</v>
      </c>
      <c r="D14" s="64" t="s">
        <v>171</v>
      </c>
    </row>
    <row r="15" customFormat="false" ht="36" hidden="false" customHeight="true" outlineLevel="0" collapsed="false">
      <c r="A15" s="62" t="s">
        <v>172</v>
      </c>
      <c r="B15" s="61" t="s">
        <v>173</v>
      </c>
      <c r="C15" s="65" t="s">
        <v>169</v>
      </c>
      <c r="D15" s="64" t="s">
        <v>174</v>
      </c>
    </row>
    <row r="16" customFormat="false" ht="36" hidden="false" customHeight="true" outlineLevel="0" collapsed="false">
      <c r="A16" s="62" t="s">
        <v>175</v>
      </c>
      <c r="B16" s="61" t="s">
        <v>176</v>
      </c>
      <c r="C16" s="65" t="s">
        <v>177</v>
      </c>
      <c r="D16" s="64" t="s">
        <v>178</v>
      </c>
    </row>
    <row r="17" customFormat="false" ht="36" hidden="false" customHeight="true" outlineLevel="0" collapsed="false">
      <c r="A17" s="62" t="s">
        <v>179</v>
      </c>
      <c r="B17" s="61" t="s">
        <v>180</v>
      </c>
      <c r="C17" s="65" t="s">
        <v>181</v>
      </c>
      <c r="D17" s="64" t="s">
        <v>182</v>
      </c>
    </row>
    <row r="18" customFormat="false" ht="36" hidden="false" customHeight="true" outlineLevel="0" collapsed="false">
      <c r="A18" s="62" t="s">
        <v>183</v>
      </c>
      <c r="B18" s="61" t="s">
        <v>184</v>
      </c>
      <c r="C18" s="65" t="s">
        <v>185</v>
      </c>
      <c r="D18" s="64" t="s">
        <v>186</v>
      </c>
    </row>
    <row r="19" customFormat="false" ht="36" hidden="false" customHeight="true" outlineLevel="0" collapsed="false">
      <c r="A19" s="62" t="s">
        <v>187</v>
      </c>
      <c r="B19" s="61" t="s">
        <v>188</v>
      </c>
      <c r="C19" s="65" t="s">
        <v>189</v>
      </c>
      <c r="D19" s="64" t="s">
        <v>190</v>
      </c>
    </row>
    <row r="22" customFormat="false" ht="19.5" hidden="false" customHeight="true" outlineLevel="0" collapsed="false">
      <c r="A22" s="59" t="s">
        <v>191</v>
      </c>
      <c r="B22" s="59"/>
      <c r="C22" s="59"/>
      <c r="D22" s="59"/>
    </row>
    <row r="23" customFormat="false" ht="19.5" hidden="false" customHeight="true" outlineLevel="0" collapsed="false">
      <c r="A23" s="60" t="s">
        <v>54</v>
      </c>
      <c r="B23" s="60" t="s">
        <v>192</v>
      </c>
      <c r="C23" s="60" t="s">
        <v>193</v>
      </c>
      <c r="D23" s="60" t="s">
        <v>194</v>
      </c>
    </row>
    <row r="24" customFormat="false" ht="36" hidden="false" customHeight="true" outlineLevel="0" collapsed="false">
      <c r="A24" s="66" t="s">
        <v>195</v>
      </c>
      <c r="B24" s="61" t="s">
        <v>196</v>
      </c>
      <c r="C24" s="64" t="s">
        <v>197</v>
      </c>
      <c r="D24" s="62" t="s">
        <v>198</v>
      </c>
    </row>
    <row r="25" customFormat="false" ht="36" hidden="false" customHeight="true" outlineLevel="0" collapsed="false">
      <c r="A25" s="66" t="s">
        <v>199</v>
      </c>
      <c r="B25" s="61" t="s">
        <v>200</v>
      </c>
      <c r="C25" s="64" t="s">
        <v>201</v>
      </c>
      <c r="D25" s="62" t="s">
        <v>202</v>
      </c>
    </row>
    <row r="26" customFormat="false" ht="36" hidden="false" customHeight="true" outlineLevel="0" collapsed="false">
      <c r="A26" s="66" t="s">
        <v>203</v>
      </c>
      <c r="B26" s="61" t="s">
        <v>204</v>
      </c>
      <c r="C26" s="64" t="s">
        <v>205</v>
      </c>
      <c r="D26" s="62" t="s">
        <v>206</v>
      </c>
    </row>
    <row r="27" customFormat="false" ht="36" hidden="false" customHeight="true" outlineLevel="0" collapsed="false">
      <c r="A27" s="66" t="s">
        <v>207</v>
      </c>
      <c r="B27" s="61" t="s">
        <v>208</v>
      </c>
      <c r="C27" s="64" t="s">
        <v>209</v>
      </c>
      <c r="D27" s="62" t="s">
        <v>210</v>
      </c>
    </row>
    <row r="28" customFormat="false" ht="36" hidden="false" customHeight="true" outlineLevel="0" collapsed="false">
      <c r="A28" s="66" t="s">
        <v>211</v>
      </c>
      <c r="B28" s="61" t="s">
        <v>212</v>
      </c>
      <c r="C28" s="64" t="s">
        <v>213</v>
      </c>
      <c r="D28" s="62" t="s">
        <v>214</v>
      </c>
    </row>
    <row r="29" customFormat="false" ht="36" hidden="false" customHeight="true" outlineLevel="0" collapsed="false">
      <c r="A29" s="66" t="s">
        <v>215</v>
      </c>
      <c r="B29" s="61" t="s">
        <v>216</v>
      </c>
      <c r="C29" s="64" t="s">
        <v>217</v>
      </c>
      <c r="D29" s="62" t="s">
        <v>218</v>
      </c>
    </row>
    <row r="32" customFormat="false" ht="19.5" hidden="false" customHeight="true" outlineLevel="0" collapsed="false">
      <c r="A32" s="59" t="s">
        <v>219</v>
      </c>
      <c r="B32" s="59"/>
      <c r="C32" s="59"/>
      <c r="D32" s="59"/>
    </row>
    <row r="33" customFormat="false" ht="48" hidden="false" customHeight="true" outlineLevel="0" collapsed="false">
      <c r="A33" s="67" t="s">
        <v>220</v>
      </c>
      <c r="B33" s="68" t="s">
        <v>221</v>
      </c>
      <c r="C33" s="68"/>
      <c r="D33" s="68"/>
    </row>
    <row r="34" customFormat="false" ht="48" hidden="false" customHeight="true" outlineLevel="0" collapsed="false">
      <c r="A34" s="67" t="s">
        <v>222</v>
      </c>
      <c r="B34" s="68" t="s">
        <v>223</v>
      </c>
      <c r="C34" s="68"/>
      <c r="D34" s="68"/>
    </row>
    <row r="35" customFormat="false" ht="48" hidden="false" customHeight="true" outlineLevel="0" collapsed="false">
      <c r="A35" s="67" t="s">
        <v>224</v>
      </c>
      <c r="B35" s="68" t="s">
        <v>225</v>
      </c>
      <c r="C35" s="68"/>
      <c r="D35" s="68"/>
    </row>
    <row r="36" customFormat="false" ht="48" hidden="false" customHeight="true" outlineLevel="0" collapsed="false">
      <c r="A36" s="67" t="s">
        <v>226</v>
      </c>
      <c r="B36" s="68" t="s">
        <v>227</v>
      </c>
      <c r="C36" s="68"/>
      <c r="D36" s="68"/>
    </row>
  </sheetData>
  <mergeCells count="9">
    <mergeCell ref="A1:D1"/>
    <mergeCell ref="A3:D3"/>
    <mergeCell ref="A12:D12"/>
    <mergeCell ref="A22:D22"/>
    <mergeCell ref="A32:D32"/>
    <mergeCell ref="B33:D33"/>
    <mergeCell ref="B34:D34"/>
    <mergeCell ref="B35:D35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2026-05-04T05:44:27Z</dcterms:created>
  <dc:creator>openpyxl</dc:creator>
  <dc:description/>
  <dc:language>en-US</dc:language>
  <cp:lastModifiedBy/>
  <dcterms:modified xsi:type="dcterms:W3CDTF">2026-05-04T05:45:51Z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